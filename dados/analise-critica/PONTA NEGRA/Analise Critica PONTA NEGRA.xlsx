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-ME" sheetId="1" state="visible" r:id="rId3"/>
    <sheet name="SET25" sheetId="2" state="visible" r:id="rId4"/>
    <sheet name="OUT25" sheetId="3" state="visible" r:id="rId5"/>
    <sheet name="NOV25" sheetId="4" state="visible" r:id="rId6"/>
    <sheet name="DEZ25" sheetId="5" state="visible" r:id="rId7"/>
    <sheet name="JAN26" sheetId="6" state="visible" r:id="rId8"/>
    <sheet name="FEV26" sheetId="7" state="visible" r:id="rId9"/>
    <sheet name="MAR26" sheetId="8" state="visible" r:id="rId10"/>
    <sheet name="ABR26" sheetId="9" state="visible" r:id="rId11"/>
    <sheet name="MAI26" sheetId="10" state="visible" r:id="rId12"/>
    <sheet name="JUN26" sheetId="11" state="visible" r:id="rId13"/>
    <sheet name="JUL26" sheetId="12" state="visible" r:id="rId14"/>
    <sheet name="AGO26" sheetId="13" state="visible" r:id="rId15"/>
    <sheet name="SET26" sheetId="14" state="visible" r:id="rId16"/>
  </sheets>
  <definedNames>
    <definedName function="false" hidden="false" localSheetId="8" name="_xlnm.Print_Area" vbProcedure="false">ABR26!$A$132:$J$157</definedName>
    <definedName function="false" hidden="false" localSheetId="12" name="_xlnm.Print_Area" vbProcedure="false">AGO26!$A$132:$J$157</definedName>
    <definedName function="false" hidden="false" localSheetId="4" name="_xlnm.Print_Area" vbProcedure="false">DEZ25!$A$132:$J$157</definedName>
    <definedName function="false" hidden="false" localSheetId="6" name="_xlnm.Print_Area" vbProcedure="false">FEV26!$A$132:$J$157</definedName>
    <definedName function="false" hidden="false" localSheetId="5" name="_xlnm.Print_Area" vbProcedure="false">JAN26!$A$132:$J$157</definedName>
    <definedName function="false" hidden="false" localSheetId="11" name="_xlnm.Print_Area" vbProcedure="false">JUL26!$A$132:$J$157</definedName>
    <definedName function="false" hidden="false" localSheetId="10" name="_xlnm.Print_Area" vbProcedure="false">JUN26!$A$132:$J$157</definedName>
    <definedName function="false" hidden="false" localSheetId="9" name="_xlnm.Print_Area" vbProcedure="false">MAI26!$A$132:$J$157</definedName>
    <definedName function="false" hidden="false" localSheetId="7" name="_xlnm.Print_Area" vbProcedure="false">MAR26!$A$132:$J$157</definedName>
    <definedName function="false" hidden="false" localSheetId="3" name="_xlnm.Print_Area" vbProcedure="false">NOV25!$A$132:$J$157</definedName>
    <definedName function="false" hidden="false" localSheetId="2" name="_xlnm.Print_Area" vbProcedure="false">OUT25!$A$132:$J$157</definedName>
    <definedName function="false" hidden="false" localSheetId="1" name="_xlnm.Print_Area" vbProcedure="false">SET25!$A$132:$J$157</definedName>
    <definedName function="false" hidden="false" localSheetId="13" name="_xlnm.Print_Area" vbProcedure="false">SET26!$A$132:$J$157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<sst xmlns="http://schemas.openxmlformats.org/spreadsheetml/2006/main" count="1594" uniqueCount="174">
  <si>
    <t xml:space="preserve">Análise Crítica · PONTA NEGRA</t>
  </si>
  <si>
    <t xml:space="preserve">Dados fictícios: construtora inventada de Natal/RN, portfólio Vizu Dados.</t>
  </si>
  <si>
    <t xml:space="preserve">Uma aba por mês (MMMAA). Os campos são lidos pelo rótulo da coluna B.</t>
  </si>
  <si>
    <t xml:space="preserve">Versão 01 da planilha: a dívida da obra (item 10) desconta do resultado.</t>
  </si>
  <si>
    <t xml:space="preserve">ANÁLISE DE DESEMPENHO ECONÔMICO DA OBRA</t>
  </si>
  <si>
    <t xml:space="preserve">Construtora fictícia de Natal/RN · portfólio Vizu Dados · dados inventados</t>
  </si>
  <si>
    <t xml:space="preserve">Versão 01 · revisão de 01/09/2025: a dívida da obra passa a descontar do resultado</t>
  </si>
  <si>
    <t xml:space="preserve">Célula editável</t>
  </si>
  <si>
    <t xml:space="preserve">Resultado (não editar)</t>
  </si>
  <si>
    <t xml:space="preserve">Tabela anexada</t>
  </si>
  <si>
    <t xml:space="preserve">% relacionada</t>
  </si>
  <si>
    <t xml:space="preserve">1º passo: Projeto (definir o empreendimento)</t>
  </si>
  <si>
    <t xml:space="preserve">PONTA NEGRA</t>
  </si>
  <si>
    <t xml:space="preserve">2º passo: Mês de análise (definir o mês de referência)</t>
  </si>
  <si>
    <t xml:space="preserve">3º passo: Orçamento da obra projetado (com INCC no a realizar)</t>
  </si>
  <si>
    <t xml:space="preserve">Tipo do orçamento</t>
  </si>
  <si>
    <t xml:space="preserve">Orçamento executivo</t>
  </si>
  <si>
    <t xml:space="preserve">4º passo: Previsto do mês (incluir o % do cronograma)</t>
  </si>
  <si>
    <t xml:space="preserve">5º passo: Executado do mês (incluir o % medido)</t>
  </si>
  <si>
    <t xml:space="preserve">6º passo: Previsto acumulado do mês</t>
  </si>
  <si>
    <t xml:space="preserve">7º passo: Executado acumulado do mês</t>
  </si>
  <si>
    <t xml:space="preserve">8º passo: Crédito do orçamento (executado acumulado × orçamento)</t>
  </si>
  <si>
    <t xml:space="preserve">8º passo (cont.): Saldo de contrato (tabela)</t>
  </si>
  <si>
    <t xml:space="preserve">9º passo: Adiantamento de serviços não medidos (tabela)</t>
  </si>
  <si>
    <t xml:space="preserve">10º passo: Adiantamento de materiais não estocados (tabela)</t>
  </si>
  <si>
    <t xml:space="preserve">11º passo: Estoque de materiais (almoxarifado)</t>
  </si>
  <si>
    <t xml:space="preserve">12º passo: Equipamentos comprados (valor de mercado)</t>
  </si>
  <si>
    <t xml:space="preserve">13º passo: Receitas de personalizações (tabela)</t>
  </si>
  <si>
    <t xml:space="preserve">14º passo: Contas a pagar dos medidos (relatório a pagar)</t>
  </si>
  <si>
    <t xml:space="preserve">15º passo: Valor desembolsado pela obra (relatório conferido)</t>
  </si>
  <si>
    <t xml:space="preserve">Valor corrigido (sem os itens apontados irregularmente)</t>
  </si>
  <si>
    <t xml:space="preserve">16º passo: Dívida da obra a ser paga (outra obra da carteira)</t>
  </si>
  <si>
    <t xml:space="preserve">Saldo de contrato</t>
  </si>
  <si>
    <t xml:space="preserve">Adiantamento de materiais não estocados</t>
  </si>
  <si>
    <t xml:space="preserve">Total</t>
  </si>
  <si>
    <t xml:space="preserve">Adiantamento de serviços não medidos</t>
  </si>
  <si>
    <t xml:space="preserve">Estoque de materiais</t>
  </si>
  <si>
    <t xml:space="preserve">Aço CA-50/60 para lajes</t>
  </si>
  <si>
    <t xml:space="preserve">Formas e escoramento</t>
  </si>
  <si>
    <t xml:space="preserve">Blocos cerâmicos</t>
  </si>
  <si>
    <t xml:space="preserve">Material hidrossanitário</t>
  </si>
  <si>
    <t xml:space="preserve">Equipamentos comprados</t>
  </si>
  <si>
    <t xml:space="preserve">Receitas de personalizações</t>
  </si>
  <si>
    <t xml:space="preserve">Betoneira 400 L</t>
  </si>
  <si>
    <t xml:space="preserve">Guincho de coluna</t>
  </si>
  <si>
    <t xml:space="preserve">Andaime fachadeiro (lote)</t>
  </si>
  <si>
    <t xml:space="preserve">Serra circular de bancada</t>
  </si>
  <si>
    <t xml:space="preserve">Gerador 40 kVA</t>
  </si>
  <si>
    <t xml:space="preserve">Grua ascensional (valor residual)</t>
  </si>
  <si>
    <t xml:space="preserve">Contas a pagar dos medidos</t>
  </si>
  <si>
    <t xml:space="preserve">Itens apontados irregularmente no relatório</t>
  </si>
  <si>
    <t xml:space="preserve">Medição da empreiteira de estrutura · NF 26580</t>
  </si>
  <si>
    <t xml:space="preserve">Concreto usinado da laje · NF 63163</t>
  </si>
  <si>
    <t xml:space="preserve">Aluguel de escoramento · NF 48609</t>
  </si>
  <si>
    <t xml:space="preserve">Encargos e INSS do mês · NF 6329</t>
  </si>
  <si>
    <t xml:space="preserve">Dívida da obra a ser paga</t>
  </si>
  <si>
    <t xml:space="preserve">RESULTADO PARA UTILIZAR NA APRESENTAÇÃO</t>
  </si>
  <si>
    <t xml:space="preserve">Tabela informativa do desembolso do mês</t>
  </si>
  <si>
    <t xml:space="preserve">Projeto</t>
  </si>
  <si>
    <t xml:space="preserve">Valor previsto para o mês</t>
  </si>
  <si>
    <t xml:space="preserve">Orçamento</t>
  </si>
  <si>
    <t xml:space="preserve">Valor desembolsado no mês</t>
  </si>
  <si>
    <t xml:space="preserve">Diferença entre o previsto e o desembolsado</t>
  </si>
  <si>
    <t xml:space="preserve">Mês</t>
  </si>
  <si>
    <t xml:space="preserve">Justificativa para diferença acima de 10% (obrigatória)</t>
  </si>
  <si>
    <t xml:space="preserve">% previsto do mês</t>
  </si>
  <si>
    <t xml:space="preserve">% executado do mês</t>
  </si>
  <si>
    <t xml:space="preserve">% previsto acumulado</t>
  </si>
  <si>
    <t xml:space="preserve">% executado acumulado</t>
  </si>
  <si>
    <t xml:space="preserve">01</t>
  </si>
  <si>
    <t xml:space="preserve">Crédito do orçamento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</si>
  <si>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</si>
  <si>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</si>
  <si>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</si>
  <si>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</si>
  <si>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</si>
  <si>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Equipamentos (valor de mercado)</t>
  </si>
  <si>
    <t xml:space="preserve">07</t>
  </si>
  <si>
    <t xml:space="preserve">Receita de personalizações</t>
  </si>
  <si>
    <t xml:space="preserve">08</t>
  </si>
  <si>
    <t xml:space="preserve">09</t>
  </si>
  <si>
    <t xml:space="preserve">Valor desembolsado (corrigido)</t>
  </si>
  <si>
    <t xml:space="preserve">10</t>
  </si>
  <si>
    <t xml:space="preserve">Resultado mensal da obra</t>
  </si>
  <si>
    <t xml:space="preserve">Resultado do mês anterior</t>
  </si>
  <si>
    <t xml:space="preserve">Significado de cada item</t>
  </si>
  <si>
    <t xml:space="preserve">Crédito do orçamento:</t>
  </si>
  <si>
    <t xml:space="preserve">Quanto a obra podia ter gasto pelo que executou: orçamento × executado acumulado.</t>
  </si>
  <si>
    <t xml:space="preserve">Saldo de contrato:</t>
  </si>
  <si>
    <t xml:space="preserve">Desconto obtido num contrato e ainda não realizado; abatido à medida que o serviço é medido.</t>
  </si>
  <si>
    <t xml:space="preserve">Adiantamento de serviços não medidos:</t>
  </si>
  <si>
    <t xml:space="preserve">Sinal pago de contrato ainda não medido (ex.: elevadores).</t>
  </si>
  <si>
    <t xml:space="preserve">Adiantamento de materiais não estocados:</t>
  </si>
  <si>
    <t xml:space="preserve">Material pago que ainda não chegou à obra (ex.: esquadrias).</t>
  </si>
  <si>
    <t xml:space="preserve">Estoque de materiais:</t>
  </si>
  <si>
    <t xml:space="preserve">Material no almoxarifado, ainda não aplicado, informado pelo almoxarife.</t>
  </si>
  <si>
    <t xml:space="preserve">Equipamentos (valor de mercado):</t>
  </si>
  <si>
    <t xml:space="preserve">Equipamento comprado pela obra e reaproveitável no fim, pelo valor de mercado.</t>
  </si>
  <si>
    <t xml:space="preserve">Receita de personalizações:</t>
  </si>
  <si>
    <t xml:space="preserve">Personalizações pagas pelos clientes, acumuladas até o fim da obra.</t>
  </si>
  <si>
    <t xml:space="preserve">Contas a pagar dos medidos:</t>
  </si>
  <si>
    <t xml:space="preserve">Serviço já medido e ainda a pagar (relatório de contas a pagar).</t>
  </si>
  <si>
    <t xml:space="preserve">Valor desembolsado pela obra:</t>
  </si>
  <si>
    <t xml:space="preserve">Desembolso acumulado desde o início, conferido e sem os itens apontados na obra errada.</t>
  </si>
  <si>
    <t xml:space="preserve">Dívida da obra a ser paga:</t>
  </si>
  <si>
    <t xml:space="preserve">Material de outra obra da carteira usado nesta: custo da obra, desconta do resultado (versão 01 da planilha).</t>
  </si>
  <si>
    <t xml:space="preserve">Esquadrias de alumínio · sinal de fabricação</t>
  </si>
  <si>
    <t xml:space="preserve">Medição da empreiteira de estrutura · NF 71681</t>
  </si>
  <si>
    <t xml:space="preserve">Concreto usinado da laje · NF 24261</t>
  </si>
  <si>
    <t xml:space="preserve">Aluguel de escoramento · NF 49947</t>
  </si>
  <si>
    <t xml:space="preserve">Encargos e INSS do mês · NF 6466</t>
  </si>
  <si>
    <t xml:space="preserve">Medição da empreiteira de estrutura · NF 36053</t>
  </si>
  <si>
    <t xml:space="preserve">Concreto usinado da laje · NF 61167</t>
  </si>
  <si>
    <t xml:space="preserve">Aluguel de escoramento · NF 15728</t>
  </si>
  <si>
    <t xml:space="preserve">Encargos e INSS do mês · NF 9737</t>
  </si>
  <si>
    <t xml:space="preserve">Medição da empreiteira de estrutura · NF 15352</t>
  </si>
  <si>
    <t xml:space="preserve">Concreto usinado da laje · NF 88467</t>
  </si>
  <si>
    <t xml:space="preserve">Aluguel de escoramento · NF 8828</t>
  </si>
  <si>
    <t xml:space="preserve">Encargos e INSS do mês · NF 68865</t>
  </si>
  <si>
    <t xml:space="preserve">Desconto no contrato de esquadrias (abatido na medição)</t>
  </si>
  <si>
    <t xml:space="preserve">Medição da empreiteira de estrutura · NF 45788</t>
  </si>
  <si>
    <t xml:space="preserve">Concreto usinado da laje · NF 23404</t>
  </si>
  <si>
    <t xml:space="preserve">Aluguel de escoramento · NF 14803</t>
  </si>
  <si>
    <t xml:space="preserve">Encargos e INSS do mês · NF 43029</t>
  </si>
  <si>
    <t xml:space="preserve">Argamassa industrializada</t>
  </si>
  <si>
    <t xml:space="preserve">Material elétrico (fios e cabos)</t>
  </si>
  <si>
    <t xml:space="preserve">Revestimento cerâmico (compra antecipada)</t>
  </si>
  <si>
    <t xml:space="preserve">Medição da empreiteira de alvenaria · NF 80075</t>
  </si>
  <si>
    <t xml:space="preserve">Medição de instalações hidráulicas · NF 19340</t>
  </si>
  <si>
    <t xml:space="preserve">Medição de instalações elétricas · NF 77399</t>
  </si>
  <si>
    <t xml:space="preserve">Encargos e INSS do mês · NF 45987</t>
  </si>
  <si>
    <t xml:space="preserve">Elevadores · sinal de contrato</t>
  </si>
  <si>
    <t xml:space="preserve">Unid. 404 · troca de piso da sala (cliente L. Fernandes)</t>
  </si>
  <si>
    <t xml:space="preserve">Unid. 1403 · bancada da cozinha em quartzo (cliente M. Albuquerque)</t>
  </si>
  <si>
    <t xml:space="preserve">Unid. 1001 · planta com home office (cliente N. Siqueira)</t>
  </si>
  <si>
    <t xml:space="preserve">Unid. 601 · ponto extra de ar-condicionado (cliente A. Cavalcanti)</t>
  </si>
  <si>
    <t xml:space="preserve">Unid. 1703 · revestimento da varanda (cliente B. Freire)</t>
  </si>
  <si>
    <t xml:space="preserve">Medição da empreiteira de alvenaria · NF 61057</t>
  </si>
  <si>
    <t xml:space="preserve">Medição de instalações hidráulicas · NF 39509</t>
  </si>
  <si>
    <t xml:space="preserve">Medição de instalações elétricas · NF 23356</t>
  </si>
  <si>
    <t xml:space="preserve">Encargos e INSS do mês · NF 57982</t>
  </si>
  <si>
    <t xml:space="preserve">Medição da empreiteira de alvenaria · NF 33486</t>
  </si>
  <si>
    <t xml:space="preserve">Medição de instalações hidráulicas · NF 71931</t>
  </si>
  <si>
    <t xml:space="preserve">Medição de instalações elétricas · NF 40040</t>
  </si>
  <si>
    <t xml:space="preserve">Encargos e INSS do mês · NF 41175</t>
  </si>
  <si>
    <t xml:space="preserve">Unid. 1203 · fechamento da cozinha (cliente C. Bezerra)</t>
  </si>
  <si>
    <t xml:space="preserve">Medição da empreiteira de alvenaria · NF 19530</t>
  </si>
  <si>
    <t xml:space="preserve">Medição de instalações hidráulicas · NF 31728</t>
  </si>
  <si>
    <t xml:space="preserve">Medição de instalações elétricas · NF 98241</t>
  </si>
  <si>
    <t xml:space="preserve">Encargos e INSS do mês · NF 53225</t>
  </si>
  <si>
    <t xml:space="preserve">Medição da empreiteira de alvenaria · NF 43482</t>
  </si>
  <si>
    <t xml:space="preserve">Medição de instalações hidráulicas · NF 21793</t>
  </si>
  <si>
    <t xml:space="preserve">Medição de instalações elétricas · NF 32696</t>
  </si>
  <si>
    <t xml:space="preserve">Encargos e INSS do mês · NF 51329</t>
  </si>
  <si>
    <t xml:space="preserve">Unid. 1604 · box e metais de padrão superior (cliente D. Pinheiro)</t>
  </si>
  <si>
    <t xml:space="preserve">Medição da empreiteira de alvenaria · NF 13365</t>
  </si>
  <si>
    <t xml:space="preserve">Medição de instalações hidráulicas · NF 87902</t>
  </si>
  <si>
    <t xml:space="preserve">Medição de instalações elétricas · NF 58435</t>
  </si>
  <si>
    <t xml:space="preserve">Encargos e INSS do mês · NF 29075</t>
  </si>
  <si>
    <t xml:space="preserve">Medição da empreiteira de alvenaria · NF 47496</t>
  </si>
  <si>
    <t xml:space="preserve">Medição de instalações hidráulicas · NF 69892</t>
  </si>
  <si>
    <t xml:space="preserve">Medição de instalações elétricas · NF 37767</t>
  </si>
  <si>
    <t xml:space="preserve">Encargos e INSS do mês · NF 95973</t>
  </si>
  <si>
    <t xml:space="preserve">Revestimento cerâmico interno</t>
  </si>
  <si>
    <t xml:space="preserve">Porcelanato das áreas comuns</t>
  </si>
  <si>
    <t xml:space="preserve">Louças e metais</t>
  </si>
  <si>
    <t xml:space="preserve">Tinta acrílica</t>
  </si>
  <si>
    <t xml:space="preserve">Material para impermeabilização</t>
  </si>
  <si>
    <t xml:space="preserve">Unid. 603 · iluminação embutida (cliente E. Maia)</t>
  </si>
  <si>
    <t xml:space="preserve">Medição de reboco e gesso · NF 68874</t>
  </si>
  <si>
    <t xml:space="preserve">Medição de pintura · NF 83148</t>
  </si>
  <si>
    <t xml:space="preserve">Medição de revestimento · NF 96955</t>
  </si>
  <si>
    <t xml:space="preserve">Medição de instalações elétricas · NF 21402</t>
  </si>
  <si>
    <t xml:space="preserve">Encargos e INSS do mês · NF 35112</t>
  </si>
</sst>
</file>

<file path=xl/styles.xml><?xml version="1.0" encoding="utf-8"?>
<styleSheet xmlns="http://schemas.openxmlformats.org/spreadsheetml/2006/main">
  <numFmts count="3">
    <numFmt numFmtId="164" formatCode="General"/>
    <numFmt numFmtId="166" formatCode="#,##0.00;[RED]\-#,##0.00"/>
    <numFmt numFmtId="167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FFE699"/>
        <bgColor rgb="FFFFCC99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E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45901</v>
      </c>
    </row>
    <row r="28" customFormat="false" ht="15" hidden="false" customHeight="false" outlineLevel="0" collapsed="false">
      <c r="B28" s="0" t="s">
        <v>14</v>
      </c>
      <c r="J28" s="8" t="n">
        <v>38600000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0.0454</v>
      </c>
    </row>
    <row r="33" customFormat="false" ht="15" hidden="false" customHeight="false" outlineLevel="0" collapsed="false">
      <c r="B33" s="0" t="s">
        <v>18</v>
      </c>
      <c r="F33" s="9" t="n">
        <v>0.044</v>
      </c>
    </row>
    <row r="35" customFormat="false" ht="15" hidden="false" customHeight="false" outlineLevel="0" collapsed="false">
      <c r="B35" s="0" t="s">
        <v>19</v>
      </c>
      <c r="F35" s="9" t="n">
        <v>0.3047</v>
      </c>
    </row>
    <row r="37" customFormat="false" ht="15" hidden="false" customHeight="false" outlineLevel="0" collapsed="false">
      <c r="B37" s="0" t="s">
        <v>20</v>
      </c>
      <c r="F37" s="9" t="n">
        <v>0.29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11194000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374175.14</v>
      </c>
    </row>
    <row r="49" customFormat="false" ht="15" hidden="false" customHeight="false" outlineLevel="0" collapsed="false">
      <c r="B49" s="0" t="s">
        <v>26</v>
      </c>
      <c r="F49" s="10" t="n">
        <f aca="false">E102</f>
        <v>356700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272192.94</v>
      </c>
    </row>
    <row r="55" customFormat="false" ht="15" hidden="false" customHeight="false" outlineLevel="0" collapsed="false">
      <c r="B55" s="0" t="s">
        <v>29</v>
      </c>
      <c r="F55" s="8" t="n">
        <v>11251384.59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11251384.59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124033.38</v>
      </c>
    </row>
    <row r="79" customFormat="false" ht="15" hidden="false" customHeight="false" outlineLevel="0" collapsed="false">
      <c r="G79" s="0" t="s">
        <v>38</v>
      </c>
      <c r="J79" s="14" t="n">
        <v>80236.25</v>
      </c>
    </row>
    <row r="80" customFormat="false" ht="15" hidden="false" customHeight="false" outlineLevel="0" collapsed="false">
      <c r="G80" s="0" t="s">
        <v>39</v>
      </c>
      <c r="J80" s="14" t="n">
        <v>99576.87</v>
      </c>
    </row>
    <row r="81" customFormat="false" ht="15" hidden="false" customHeight="false" outlineLevel="0" collapsed="false">
      <c r="G81" s="0" t="s">
        <v>40</v>
      </c>
      <c r="J81" s="14" t="n">
        <v>70328.64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374175.14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96" customFormat="false" ht="15" hidden="false" customHeight="false" outlineLevel="0" collapsed="false">
      <c r="B96" s="0" t="s">
        <v>47</v>
      </c>
      <c r="E96" s="14" t="n">
        <v>52000</v>
      </c>
    </row>
    <row r="97" customFormat="false" ht="15" hidden="false" customHeight="false" outlineLevel="0" collapsed="false">
      <c r="B97" s="0" t="s">
        <v>48</v>
      </c>
      <c r="E97" s="14" t="n">
        <v>186000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356700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49</v>
      </c>
      <c r="G105" s="11" t="s">
        <v>50</v>
      </c>
    </row>
    <row r="106" customFormat="false" ht="15" hidden="false" customHeight="false" outlineLevel="0" collapsed="false">
      <c r="B106" s="0" t="s">
        <v>51</v>
      </c>
      <c r="E106" s="14" t="n">
        <v>71687.22</v>
      </c>
    </row>
    <row r="107" customFormat="false" ht="15" hidden="false" customHeight="false" outlineLevel="0" collapsed="false">
      <c r="B107" s="0" t="s">
        <v>52</v>
      </c>
      <c r="E107" s="14" t="n">
        <v>67300.06</v>
      </c>
    </row>
    <row r="108" customFormat="false" ht="15" hidden="false" customHeight="false" outlineLevel="0" collapsed="false">
      <c r="B108" s="0" t="s">
        <v>53</v>
      </c>
      <c r="E108" s="14" t="n">
        <v>62695.04</v>
      </c>
    </row>
    <row r="109" customFormat="false" ht="15" hidden="false" customHeight="false" outlineLevel="0" collapsed="false">
      <c r="B109" s="0" t="s">
        <v>54</v>
      </c>
      <c r="E109" s="14" t="n">
        <v>70510.62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272192.94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55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56</v>
      </c>
    </row>
    <row r="135" customFormat="false" ht="15" hidden="false" customHeight="false" outlineLevel="0" collapsed="false">
      <c r="G135" s="12" t="s">
        <v>57</v>
      </c>
    </row>
    <row r="136" customFormat="false" ht="15" hidden="false" customHeight="false" outlineLevel="0" collapsed="false">
      <c r="C136" s="0" t="s">
        <v>58</v>
      </c>
      <c r="D136" s="4" t="str">
        <f aca="false">D24</f>
        <v>PONTA NEGRA</v>
      </c>
      <c r="G136" s="15" t="s">
        <v>59</v>
      </c>
      <c r="J136" s="8" t="n">
        <v>1623664.43</v>
      </c>
    </row>
    <row r="137" customFormat="false" ht="15" hidden="false" customHeight="false" outlineLevel="0" collapsed="false">
      <c r="C137" s="0" t="s">
        <v>60</v>
      </c>
      <c r="D137" s="10" t="n">
        <f aca="false">J28</f>
        <v>38600000</v>
      </c>
      <c r="G137" s="15" t="s">
        <v>61</v>
      </c>
      <c r="J137" s="8" t="n">
        <v>1705224.64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62</v>
      </c>
      <c r="J138" s="10" t="n">
        <f aca="false">J137-J136</f>
        <v>81560.21</v>
      </c>
    </row>
    <row r="139" customFormat="false" ht="15" hidden="false" customHeight="false" outlineLevel="0" collapsed="false">
      <c r="C139" s="0" t="s">
        <v>63</v>
      </c>
      <c r="D139" s="16" t="n">
        <f aca="false">E26</f>
        <v>45901</v>
      </c>
      <c r="G139" s="15" t="s">
        <v>64</v>
      </c>
    </row>
    <row r="140" customFormat="false" ht="15" hidden="false" customHeight="false" outlineLevel="0" collapsed="false">
      <c r="C140" s="0" t="s">
        <v>65</v>
      </c>
      <c r="D140" s="17" t="n">
        <f aca="false">F31</f>
        <v>0.0454</v>
      </c>
    </row>
    <row r="141" customFormat="false" ht="15" hidden="false" customHeight="false" outlineLevel="0" collapsed="false">
      <c r="C141" s="0" t="s">
        <v>66</v>
      </c>
      <c r="D141" s="17" t="n">
        <f aca="false">F33</f>
        <v>0.044</v>
      </c>
    </row>
    <row r="142" customFormat="false" ht="15" hidden="false" customHeight="false" outlineLevel="0" collapsed="false">
      <c r="C142" s="0" t="s">
        <v>67</v>
      </c>
      <c r="D142" s="17" t="n">
        <f aca="false">F35</f>
        <v>0.3047</v>
      </c>
    </row>
    <row r="143" customFormat="false" ht="15" hidden="false" customHeight="false" outlineLevel="0" collapsed="false">
      <c r="C143" s="0" t="s">
        <v>68</v>
      </c>
      <c r="D143" s="17" t="n">
        <f aca="false">F37</f>
        <v>0.29</v>
      </c>
    </row>
    <row r="145" customFormat="false" ht="15" hidden="false" customHeight="false" outlineLevel="0" collapsed="false">
      <c r="B145" s="0" t="s">
        <v>69</v>
      </c>
      <c r="C145" s="0" t="s">
        <v>70</v>
      </c>
      <c r="D145" s="10" t="n">
        <f aca="false">F39</f>
        <v>11194000</v>
      </c>
      <c r="E145" s="18" t="n">
        <f aca="false">D145/$D$137</f>
        <v>0.29</v>
      </c>
    </row>
    <row r="146" customFormat="false" ht="15" hidden="false" customHeight="false" outlineLevel="0" collapsed="false">
      <c r="B146" s="0" t="s">
        <v>71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72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73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74</v>
      </c>
      <c r="C149" s="0" t="s">
        <v>36</v>
      </c>
      <c r="D149" s="10" t="n">
        <f aca="false">F47</f>
        <v>374175.14</v>
      </c>
      <c r="E149" s="18" t="n">
        <f aca="false">D149/$D$137</f>
        <v>0.00969365647668394</v>
      </c>
    </row>
    <row r="150" customFormat="false" ht="15" hidden="false" customHeight="false" outlineLevel="0" collapsed="false">
      <c r="B150" s="0" t="s">
        <v>75</v>
      </c>
      <c r="C150" s="0" t="s">
        <v>76</v>
      </c>
      <c r="D150" s="10" t="n">
        <f aca="false">F49</f>
        <v>356700</v>
      </c>
      <c r="E150" s="18" t="n">
        <f aca="false">D150/$D$137</f>
        <v>0.00924093264248705</v>
      </c>
    </row>
    <row r="151" customFormat="false" ht="15" hidden="false" customHeight="false" outlineLevel="0" collapsed="false">
      <c r="B151" s="0" t="s">
        <v>77</v>
      </c>
      <c r="C151" s="0" t="s">
        <v>78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79</v>
      </c>
      <c r="C152" s="0" t="s">
        <v>49</v>
      </c>
      <c r="D152" s="10" t="n">
        <f aca="false">F53</f>
        <v>272192.94</v>
      </c>
      <c r="E152" s="18" t="n">
        <f aca="false">D152/$D$137</f>
        <v>0.00705163056994819</v>
      </c>
    </row>
    <row r="153" customFormat="false" ht="15" hidden="false" customHeight="false" outlineLevel="0" collapsed="false">
      <c r="B153" s="0" t="s">
        <v>80</v>
      </c>
      <c r="C153" s="0" t="s">
        <v>81</v>
      </c>
      <c r="D153" s="10" t="n">
        <f aca="false">F56</f>
        <v>11251384.59</v>
      </c>
      <c r="E153" s="18" t="n">
        <f aca="false">D153/$D$137</f>
        <v>0.291486647409326</v>
      </c>
    </row>
    <row r="154" customFormat="false" ht="15" hidden="false" customHeight="false" outlineLevel="0" collapsed="false">
      <c r="B154" s="0" t="s">
        <v>82</v>
      </c>
      <c r="C154" s="0" t="s">
        <v>55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83</v>
      </c>
      <c r="D155" s="13" t="n">
        <f aca="false">D145+D146+D147+D148+D149+D150+D151-D152-D153-D154</f>
        <v>401297.610000001</v>
      </c>
      <c r="E155" s="19" t="n">
        <f aca="false">D155/D137</f>
        <v>0.0103963111398964</v>
      </c>
    </row>
    <row r="156" customFormat="false" ht="15" hidden="false" customHeight="false" outlineLevel="0" collapsed="false">
      <c r="C156" s="0" t="s">
        <v>84</v>
      </c>
    </row>
    <row r="160" customFormat="false" ht="15" hidden="false" customHeight="false" outlineLevel="0" collapsed="false">
      <c r="B160" s="12" t="s">
        <v>85</v>
      </c>
    </row>
    <row r="162" customFormat="false" ht="15" hidden="false" customHeight="false" outlineLevel="0" collapsed="false">
      <c r="B162" s="12" t="s">
        <v>86</v>
      </c>
    </row>
    <row r="163" customFormat="false" ht="15" hidden="false" customHeight="false" outlineLevel="0" collapsed="false">
      <c r="B163" s="0" t="s">
        <v>87</v>
      </c>
    </row>
    <row r="164" customFormat="false" ht="15" hidden="false" customHeight="false" outlineLevel="0" collapsed="false">
      <c r="B164" s="12" t="s">
        <v>88</v>
      </c>
    </row>
    <row r="165" customFormat="false" ht="15" hidden="false" customHeight="false" outlineLevel="0" collapsed="false">
      <c r="B165" s="0" t="s">
        <v>89</v>
      </c>
    </row>
    <row r="166" customFormat="false" ht="15" hidden="false" customHeight="false" outlineLevel="0" collapsed="false">
      <c r="B166" s="12" t="s">
        <v>90</v>
      </c>
    </row>
    <row r="167" customFormat="false" ht="15" hidden="false" customHeight="false" outlineLevel="0" collapsed="false">
      <c r="B167" s="0" t="s">
        <v>91</v>
      </c>
    </row>
    <row r="168" customFormat="false" ht="15" hidden="false" customHeight="false" outlineLevel="0" collapsed="false">
      <c r="B168" s="12" t="s">
        <v>92</v>
      </c>
    </row>
    <row r="169" customFormat="false" ht="15" hidden="false" customHeight="false" outlineLevel="0" collapsed="false">
      <c r="B169" s="0" t="s">
        <v>93</v>
      </c>
    </row>
    <row r="170" customFormat="false" ht="15" hidden="false" customHeight="false" outlineLevel="0" collapsed="false">
      <c r="B170" s="12" t="s">
        <v>94</v>
      </c>
    </row>
    <row r="171" customFormat="false" ht="15" hidden="false" customHeight="false" outlineLevel="0" collapsed="false">
      <c r="B171" s="0" t="s">
        <v>95</v>
      </c>
    </row>
    <row r="172" customFormat="false" ht="15" hidden="false" customHeight="false" outlineLevel="0" collapsed="false">
      <c r="B172" s="12" t="s">
        <v>96</v>
      </c>
    </row>
    <row r="173" customFormat="false" ht="15" hidden="false" customHeight="false" outlineLevel="0" collapsed="false">
      <c r="B173" s="0" t="s">
        <v>97</v>
      </c>
    </row>
    <row r="174" customFormat="false" ht="15" hidden="false" customHeight="false" outlineLevel="0" collapsed="false">
      <c r="B174" s="12" t="s">
        <v>98</v>
      </c>
    </row>
    <row r="175" customFormat="false" ht="15" hidden="false" customHeight="false" outlineLevel="0" collapsed="false">
      <c r="B175" s="0" t="s">
        <v>99</v>
      </c>
    </row>
    <row r="176" customFormat="false" ht="15" hidden="false" customHeight="false" outlineLevel="0" collapsed="false">
      <c r="B176" s="12" t="s">
        <v>100</v>
      </c>
    </row>
    <row r="177" customFormat="false" ht="15" hidden="false" customHeight="false" outlineLevel="0" collapsed="false">
      <c r="B177" s="0" t="s">
        <v>101</v>
      </c>
    </row>
    <row r="178" customFormat="false" ht="15" hidden="false" customHeight="false" outlineLevel="0" collapsed="false">
      <c r="B178" s="12" t="s">
        <v>102</v>
      </c>
    </row>
    <row r="179" customFormat="false" ht="15" hidden="false" customHeight="false" outlineLevel="0" collapsed="false">
      <c r="B179" s="0" t="s">
        <v>103</v>
      </c>
    </row>
    <row r="180" customFormat="false" ht="15" hidden="false" customHeight="false" outlineLevel="0" collapsed="false">
      <c r="B180" s="12" t="s">
        <v>104</v>
      </c>
    </row>
    <row r="181" customFormat="false" ht="15" hidden="false" customHeight="false" outlineLevel="0" collapsed="false">
      <c r="B18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45931</v>
      </c>
    </row>
    <row r="28" customFormat="false" ht="15" hidden="false" customHeight="false" outlineLevel="0" collapsed="false">
      <c r="B28" s="0" t="s">
        <v>14</v>
      </c>
      <c r="J28" s="8" t="n">
        <v>38762120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0.0473</v>
      </c>
    </row>
    <row r="33" customFormat="false" ht="15" hidden="false" customHeight="false" outlineLevel="0" collapsed="false">
      <c r="B33" s="0" t="s">
        <v>18</v>
      </c>
      <c r="F33" s="9" t="n">
        <v>0.0471</v>
      </c>
    </row>
    <row r="35" customFormat="false" ht="15" hidden="false" customHeight="false" outlineLevel="0" collapsed="false">
      <c r="B35" s="0" t="s">
        <v>19</v>
      </c>
      <c r="F35" s="9" t="n">
        <v>0.352</v>
      </c>
    </row>
    <row r="37" customFormat="false" ht="15" hidden="false" customHeight="false" outlineLevel="0" collapsed="false">
      <c r="B37" s="0" t="s">
        <v>20</v>
      </c>
      <c r="F37" s="9" t="n">
        <v>0.3371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13066710.652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232572.72</v>
      </c>
    </row>
    <row r="47" customFormat="false" ht="15" hidden="false" customHeight="false" outlineLevel="0" collapsed="false">
      <c r="B47" s="0" t="s">
        <v>25</v>
      </c>
      <c r="F47" s="10" t="n">
        <f aca="false">J88</f>
        <v>371369.04</v>
      </c>
    </row>
    <row r="49" customFormat="false" ht="15" hidden="false" customHeight="false" outlineLevel="0" collapsed="false">
      <c r="B49" s="0" t="s">
        <v>26</v>
      </c>
      <c r="F49" s="10" t="n">
        <f aca="false">E102</f>
        <v>356700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435591.9</v>
      </c>
    </row>
    <row r="55" customFormat="false" ht="15" hidden="false" customHeight="false" outlineLevel="0" collapsed="false">
      <c r="B55" s="0" t="s">
        <v>29</v>
      </c>
      <c r="F55" s="8" t="n">
        <v>13170052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13170052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G64" s="0" t="s">
        <v>106</v>
      </c>
      <c r="J64" s="14" t="n">
        <v>232572.72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232572.72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97247.26</v>
      </c>
    </row>
    <row r="79" customFormat="false" ht="15" hidden="false" customHeight="false" outlineLevel="0" collapsed="false">
      <c r="G79" s="0" t="s">
        <v>38</v>
      </c>
      <c r="J79" s="14" t="n">
        <v>94167.63</v>
      </c>
    </row>
    <row r="80" customFormat="false" ht="15" hidden="false" customHeight="false" outlineLevel="0" collapsed="false">
      <c r="G80" s="0" t="s">
        <v>39</v>
      </c>
      <c r="J80" s="14" t="n">
        <v>95628.06</v>
      </c>
    </row>
    <row r="81" customFormat="false" ht="15" hidden="false" customHeight="false" outlineLevel="0" collapsed="false">
      <c r="G81" s="0" t="s">
        <v>40</v>
      </c>
      <c r="J81" s="14" t="n">
        <v>84326.09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371369.04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96" customFormat="false" ht="15" hidden="false" customHeight="false" outlineLevel="0" collapsed="false">
      <c r="B96" s="0" t="s">
        <v>47</v>
      </c>
      <c r="E96" s="14" t="n">
        <v>52000</v>
      </c>
    </row>
    <row r="97" customFormat="false" ht="15" hidden="false" customHeight="false" outlineLevel="0" collapsed="false">
      <c r="B97" s="0" t="s">
        <v>48</v>
      </c>
      <c r="E97" s="14" t="n">
        <v>186000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356700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49</v>
      </c>
      <c r="G105" s="11" t="s">
        <v>50</v>
      </c>
    </row>
    <row r="106" customFormat="false" ht="15" hidden="false" customHeight="false" outlineLevel="0" collapsed="false">
      <c r="B106" s="0" t="s">
        <v>107</v>
      </c>
      <c r="E106" s="14" t="n">
        <v>69117.08</v>
      </c>
    </row>
    <row r="107" customFormat="false" ht="15" hidden="false" customHeight="false" outlineLevel="0" collapsed="false">
      <c r="B107" s="0" t="s">
        <v>108</v>
      </c>
      <c r="E107" s="14" t="n">
        <v>128038.41</v>
      </c>
    </row>
    <row r="108" customFormat="false" ht="15" hidden="false" customHeight="false" outlineLevel="0" collapsed="false">
      <c r="B108" s="0" t="s">
        <v>109</v>
      </c>
      <c r="E108" s="14" t="n">
        <v>90691.46</v>
      </c>
    </row>
    <row r="109" customFormat="false" ht="15" hidden="false" customHeight="false" outlineLevel="0" collapsed="false">
      <c r="B109" s="0" t="s">
        <v>110</v>
      </c>
      <c r="E109" s="14" t="n">
        <v>147744.95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435591.9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55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56</v>
      </c>
    </row>
    <row r="135" customFormat="false" ht="15" hidden="false" customHeight="false" outlineLevel="0" collapsed="false">
      <c r="G135" s="12" t="s">
        <v>57</v>
      </c>
    </row>
    <row r="136" customFormat="false" ht="15" hidden="false" customHeight="false" outlineLevel="0" collapsed="false">
      <c r="C136" s="0" t="s">
        <v>58</v>
      </c>
      <c r="D136" s="4" t="str">
        <f aca="false">D24</f>
        <v>PONTA NEGRA</v>
      </c>
      <c r="G136" s="15" t="s">
        <v>59</v>
      </c>
      <c r="J136" s="8" t="n">
        <v>1882769.01</v>
      </c>
    </row>
    <row r="137" customFormat="false" ht="15" hidden="false" customHeight="false" outlineLevel="0" collapsed="false">
      <c r="C137" s="0" t="s">
        <v>60</v>
      </c>
      <c r="D137" s="10" t="n">
        <f aca="false">J28</f>
        <v>38762120</v>
      </c>
      <c r="G137" s="15" t="s">
        <v>61</v>
      </c>
      <c r="J137" s="8" t="n">
        <v>1918667.41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62</v>
      </c>
      <c r="J138" s="10" t="n">
        <f aca="false">J137-J136</f>
        <v>35898.3999999999</v>
      </c>
    </row>
    <row r="139" customFormat="false" ht="15" hidden="false" customHeight="false" outlineLevel="0" collapsed="false">
      <c r="C139" s="0" t="s">
        <v>63</v>
      </c>
      <c r="D139" s="16" t="n">
        <f aca="false">E26</f>
        <v>45931</v>
      </c>
      <c r="G139" s="15" t="s">
        <v>64</v>
      </c>
    </row>
    <row r="140" customFormat="false" ht="15" hidden="false" customHeight="false" outlineLevel="0" collapsed="false">
      <c r="C140" s="0" t="s">
        <v>65</v>
      </c>
      <c r="D140" s="17" t="n">
        <f aca="false">F31</f>
        <v>0.0473</v>
      </c>
    </row>
    <row r="141" customFormat="false" ht="15" hidden="false" customHeight="false" outlineLevel="0" collapsed="false">
      <c r="C141" s="0" t="s">
        <v>66</v>
      </c>
      <c r="D141" s="17" t="n">
        <f aca="false">F33</f>
        <v>0.0471</v>
      </c>
    </row>
    <row r="142" customFormat="false" ht="15" hidden="false" customHeight="false" outlineLevel="0" collapsed="false">
      <c r="C142" s="0" t="s">
        <v>67</v>
      </c>
      <c r="D142" s="17" t="n">
        <f aca="false">F35</f>
        <v>0.352</v>
      </c>
    </row>
    <row r="143" customFormat="false" ht="15" hidden="false" customHeight="false" outlineLevel="0" collapsed="false">
      <c r="C143" s="0" t="s">
        <v>68</v>
      </c>
      <c r="D143" s="17" t="n">
        <f aca="false">F37</f>
        <v>0.3371</v>
      </c>
    </row>
    <row r="145" customFormat="false" ht="15" hidden="false" customHeight="false" outlineLevel="0" collapsed="false">
      <c r="B145" s="0" t="s">
        <v>69</v>
      </c>
      <c r="C145" s="0" t="s">
        <v>70</v>
      </c>
      <c r="D145" s="10" t="n">
        <f aca="false">F39</f>
        <v>13066710.652</v>
      </c>
      <c r="E145" s="18" t="n">
        <f aca="false">D145/$D$137</f>
        <v>0.3371</v>
      </c>
    </row>
    <row r="146" customFormat="false" ht="15" hidden="false" customHeight="false" outlineLevel="0" collapsed="false">
      <c r="B146" s="0" t="s">
        <v>71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72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73</v>
      </c>
      <c r="C148" s="0" t="s">
        <v>33</v>
      </c>
      <c r="D148" s="10" t="n">
        <f aca="false">F45</f>
        <v>232572.72</v>
      </c>
      <c r="E148" s="18" t="n">
        <f aca="false">D148/$D$137</f>
        <v>0.006</v>
      </c>
    </row>
    <row r="149" customFormat="false" ht="15" hidden="false" customHeight="false" outlineLevel="0" collapsed="false">
      <c r="B149" s="0" t="s">
        <v>74</v>
      </c>
      <c r="C149" s="0" t="s">
        <v>36</v>
      </c>
      <c r="D149" s="10" t="n">
        <f aca="false">F47</f>
        <v>371369.04</v>
      </c>
      <c r="E149" s="18" t="n">
        <f aca="false">D149/$D$137</f>
        <v>0.00958072055914382</v>
      </c>
    </row>
    <row r="150" customFormat="false" ht="15" hidden="false" customHeight="false" outlineLevel="0" collapsed="false">
      <c r="B150" s="0" t="s">
        <v>75</v>
      </c>
      <c r="C150" s="0" t="s">
        <v>76</v>
      </c>
      <c r="D150" s="10" t="n">
        <f aca="false">F49</f>
        <v>356700</v>
      </c>
      <c r="E150" s="18" t="n">
        <f aca="false">D150/$D$137</f>
        <v>0.00920228305366167</v>
      </c>
    </row>
    <row r="151" customFormat="false" ht="15" hidden="false" customHeight="false" outlineLevel="0" collapsed="false">
      <c r="B151" s="0" t="s">
        <v>77</v>
      </c>
      <c r="C151" s="0" t="s">
        <v>78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79</v>
      </c>
      <c r="C152" s="0" t="s">
        <v>49</v>
      </c>
      <c r="D152" s="10" t="n">
        <f aca="false">F53</f>
        <v>435591.9</v>
      </c>
      <c r="E152" s="18" t="n">
        <f aca="false">D152/$D$137</f>
        <v>0.0112375664695326</v>
      </c>
    </row>
    <row r="153" customFormat="false" ht="15" hidden="false" customHeight="false" outlineLevel="0" collapsed="false">
      <c r="B153" s="0" t="s">
        <v>80</v>
      </c>
      <c r="C153" s="0" t="s">
        <v>81</v>
      </c>
      <c r="D153" s="10" t="n">
        <f aca="false">F56</f>
        <v>13170052</v>
      </c>
      <c r="E153" s="18" t="n">
        <f aca="false">D153/$D$137</f>
        <v>0.33976603962838</v>
      </c>
    </row>
    <row r="154" customFormat="false" ht="15" hidden="false" customHeight="false" outlineLevel="0" collapsed="false">
      <c r="B154" s="0" t="s">
        <v>82</v>
      </c>
      <c r="C154" s="0" t="s">
        <v>55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83</v>
      </c>
      <c r="D155" s="13" t="n">
        <f aca="false">D145+D146+D147+D148+D149+D150+D151-D152-D153-D154</f>
        <v>421708.512</v>
      </c>
      <c r="E155" s="19" t="n">
        <f aca="false">D155/D137</f>
        <v>0.0108793975148934</v>
      </c>
    </row>
    <row r="156" customFormat="false" ht="15" hidden="false" customHeight="false" outlineLevel="0" collapsed="false">
      <c r="C156" s="0" t="s">
        <v>84</v>
      </c>
      <c r="D156" s="10" t="n">
        <f aca="false">SET25!D155</f>
        <v>401297.610000001</v>
      </c>
      <c r="E156" s="17" t="n">
        <f aca="false">SET25!E155</f>
        <v>0.0103963111398964</v>
      </c>
    </row>
    <row r="160" customFormat="false" ht="15" hidden="false" customHeight="false" outlineLevel="0" collapsed="false">
      <c r="B160" s="12" t="s">
        <v>85</v>
      </c>
    </row>
    <row r="162" customFormat="false" ht="15" hidden="false" customHeight="false" outlineLevel="0" collapsed="false">
      <c r="B162" s="12" t="s">
        <v>86</v>
      </c>
    </row>
    <row r="163" customFormat="false" ht="15" hidden="false" customHeight="false" outlineLevel="0" collapsed="false">
      <c r="B163" s="0" t="s">
        <v>87</v>
      </c>
    </row>
    <row r="164" customFormat="false" ht="15" hidden="false" customHeight="false" outlineLevel="0" collapsed="false">
      <c r="B164" s="12" t="s">
        <v>88</v>
      </c>
    </row>
    <row r="165" customFormat="false" ht="15" hidden="false" customHeight="false" outlineLevel="0" collapsed="false">
      <c r="B165" s="0" t="s">
        <v>89</v>
      </c>
    </row>
    <row r="166" customFormat="false" ht="15" hidden="false" customHeight="false" outlineLevel="0" collapsed="false">
      <c r="B166" s="12" t="s">
        <v>90</v>
      </c>
    </row>
    <row r="167" customFormat="false" ht="15" hidden="false" customHeight="false" outlineLevel="0" collapsed="false">
      <c r="B167" s="0" t="s">
        <v>91</v>
      </c>
    </row>
    <row r="168" customFormat="false" ht="15" hidden="false" customHeight="false" outlineLevel="0" collapsed="false">
      <c r="B168" s="12" t="s">
        <v>92</v>
      </c>
    </row>
    <row r="169" customFormat="false" ht="15" hidden="false" customHeight="false" outlineLevel="0" collapsed="false">
      <c r="B169" s="0" t="s">
        <v>93</v>
      </c>
    </row>
    <row r="170" customFormat="false" ht="15" hidden="false" customHeight="false" outlineLevel="0" collapsed="false">
      <c r="B170" s="12" t="s">
        <v>94</v>
      </c>
    </row>
    <row r="171" customFormat="false" ht="15" hidden="false" customHeight="false" outlineLevel="0" collapsed="false">
      <c r="B171" s="0" t="s">
        <v>95</v>
      </c>
    </row>
    <row r="172" customFormat="false" ht="15" hidden="false" customHeight="false" outlineLevel="0" collapsed="false">
      <c r="B172" s="12" t="s">
        <v>96</v>
      </c>
    </row>
    <row r="173" customFormat="false" ht="15" hidden="false" customHeight="false" outlineLevel="0" collapsed="false">
      <c r="B173" s="0" t="s">
        <v>97</v>
      </c>
    </row>
    <row r="174" customFormat="false" ht="15" hidden="false" customHeight="false" outlineLevel="0" collapsed="false">
      <c r="B174" s="12" t="s">
        <v>98</v>
      </c>
    </row>
    <row r="175" customFormat="false" ht="15" hidden="false" customHeight="false" outlineLevel="0" collapsed="false">
      <c r="B175" s="0" t="s">
        <v>99</v>
      </c>
    </row>
    <row r="176" customFormat="false" ht="15" hidden="false" customHeight="false" outlineLevel="0" collapsed="false">
      <c r="B176" s="12" t="s">
        <v>100</v>
      </c>
    </row>
    <row r="177" customFormat="false" ht="15" hidden="false" customHeight="false" outlineLevel="0" collapsed="false">
      <c r="B177" s="0" t="s">
        <v>101</v>
      </c>
    </row>
    <row r="178" customFormat="false" ht="15" hidden="false" customHeight="false" outlineLevel="0" collapsed="false">
      <c r="B178" s="12" t="s">
        <v>102</v>
      </c>
    </row>
    <row r="179" customFormat="false" ht="15" hidden="false" customHeight="false" outlineLevel="0" collapsed="false">
      <c r="B179" s="0" t="s">
        <v>103</v>
      </c>
    </row>
    <row r="180" customFormat="false" ht="15" hidden="false" customHeight="false" outlineLevel="0" collapsed="false">
      <c r="B180" s="12" t="s">
        <v>104</v>
      </c>
    </row>
    <row r="181" customFormat="false" ht="15" hidden="false" customHeight="false" outlineLevel="0" collapsed="false">
      <c r="B18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45962</v>
      </c>
    </row>
    <row r="28" customFormat="false" ht="15" hidden="false" customHeight="false" outlineLevel="0" collapsed="false">
      <c r="B28" s="0" t="s">
        <v>14</v>
      </c>
      <c r="J28" s="8" t="n">
        <v>38924240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0.0486</v>
      </c>
    </row>
    <row r="33" customFormat="false" ht="15" hidden="false" customHeight="false" outlineLevel="0" collapsed="false">
      <c r="B33" s="0" t="s">
        <v>18</v>
      </c>
      <c r="F33" s="9" t="n">
        <v>0.0484</v>
      </c>
    </row>
    <row r="35" customFormat="false" ht="15" hidden="false" customHeight="false" outlineLevel="0" collapsed="false">
      <c r="B35" s="0" t="s">
        <v>19</v>
      </c>
      <c r="F35" s="9" t="n">
        <v>0.4006</v>
      </c>
    </row>
    <row r="37" customFormat="false" ht="15" hidden="false" customHeight="false" outlineLevel="0" collapsed="false">
      <c r="B37" s="0" t="s">
        <v>20</v>
      </c>
      <c r="F37" s="9" t="n">
        <v>0.3855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15005294.52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233545.44</v>
      </c>
    </row>
    <row r="47" customFormat="false" ht="15" hidden="false" customHeight="false" outlineLevel="0" collapsed="false">
      <c r="B47" s="0" t="s">
        <v>25</v>
      </c>
      <c r="F47" s="10" t="n">
        <f aca="false">J88</f>
        <v>358241.35</v>
      </c>
    </row>
    <row r="49" customFormat="false" ht="15" hidden="false" customHeight="false" outlineLevel="0" collapsed="false">
      <c r="B49" s="0" t="s">
        <v>26</v>
      </c>
      <c r="F49" s="10" t="n">
        <f aca="false">E102</f>
        <v>356700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483994.22</v>
      </c>
    </row>
    <row r="55" customFormat="false" ht="15" hidden="false" customHeight="false" outlineLevel="0" collapsed="false">
      <c r="B55" s="0" t="s">
        <v>29</v>
      </c>
      <c r="F55" s="8" t="n">
        <v>15023592.29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15023592.29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G64" s="0" t="s">
        <v>106</v>
      </c>
      <c r="J64" s="14" t="n">
        <v>233545.44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233545.44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86803</v>
      </c>
    </row>
    <row r="79" customFormat="false" ht="15" hidden="false" customHeight="false" outlineLevel="0" collapsed="false">
      <c r="G79" s="0" t="s">
        <v>38</v>
      </c>
      <c r="J79" s="14" t="n">
        <v>70261.65</v>
      </c>
    </row>
    <row r="80" customFormat="false" ht="15" hidden="false" customHeight="false" outlineLevel="0" collapsed="false">
      <c r="G80" s="0" t="s">
        <v>39</v>
      </c>
      <c r="J80" s="14" t="n">
        <v>86423.29</v>
      </c>
    </row>
    <row r="81" customFormat="false" ht="15" hidden="false" customHeight="false" outlineLevel="0" collapsed="false">
      <c r="G81" s="0" t="s">
        <v>40</v>
      </c>
      <c r="J81" s="14" t="n">
        <v>114753.41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358241.35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96" customFormat="false" ht="15" hidden="false" customHeight="false" outlineLevel="0" collapsed="false">
      <c r="B96" s="0" t="s">
        <v>47</v>
      </c>
      <c r="E96" s="14" t="n">
        <v>52000</v>
      </c>
    </row>
    <row r="97" customFormat="false" ht="15" hidden="false" customHeight="false" outlineLevel="0" collapsed="false">
      <c r="B97" s="0" t="s">
        <v>48</v>
      </c>
      <c r="E97" s="14" t="n">
        <v>186000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356700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49</v>
      </c>
      <c r="G105" s="11" t="s">
        <v>50</v>
      </c>
    </row>
    <row r="106" customFormat="false" ht="15" hidden="false" customHeight="false" outlineLevel="0" collapsed="false">
      <c r="B106" s="0" t="s">
        <v>111</v>
      </c>
      <c r="E106" s="14" t="n">
        <v>90232.91</v>
      </c>
    </row>
    <row r="107" customFormat="false" ht="15" hidden="false" customHeight="false" outlineLevel="0" collapsed="false">
      <c r="B107" s="0" t="s">
        <v>112</v>
      </c>
      <c r="E107" s="14" t="n">
        <v>130240.97</v>
      </c>
    </row>
    <row r="108" customFormat="false" ht="15" hidden="false" customHeight="false" outlineLevel="0" collapsed="false">
      <c r="B108" s="0" t="s">
        <v>113</v>
      </c>
      <c r="E108" s="14" t="n">
        <v>120586.98</v>
      </c>
    </row>
    <row r="109" customFormat="false" ht="15" hidden="false" customHeight="false" outlineLevel="0" collapsed="false">
      <c r="B109" s="0" t="s">
        <v>114</v>
      </c>
      <c r="E109" s="14" t="n">
        <v>142933.36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483994.22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55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56</v>
      </c>
    </row>
    <row r="135" customFormat="false" ht="15" hidden="false" customHeight="false" outlineLevel="0" collapsed="false">
      <c r="G135" s="12" t="s">
        <v>57</v>
      </c>
    </row>
    <row r="136" customFormat="false" ht="15" hidden="false" customHeight="false" outlineLevel="0" collapsed="false">
      <c r="C136" s="0" t="s">
        <v>58</v>
      </c>
      <c r="D136" s="4" t="str">
        <f aca="false">D24</f>
        <v>PONTA NEGRA</v>
      </c>
      <c r="G136" s="15" t="s">
        <v>59</v>
      </c>
      <c r="J136" s="8" t="n">
        <v>1848003.77</v>
      </c>
    </row>
    <row r="137" customFormat="false" ht="15" hidden="false" customHeight="false" outlineLevel="0" collapsed="false">
      <c r="C137" s="0" t="s">
        <v>60</v>
      </c>
      <c r="D137" s="10" t="n">
        <f aca="false">J28</f>
        <v>38924240</v>
      </c>
      <c r="G137" s="15" t="s">
        <v>61</v>
      </c>
      <c r="J137" s="8" t="n">
        <v>1853540.29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62</v>
      </c>
      <c r="J138" s="10" t="n">
        <f aca="false">J137-J136</f>
        <v>5536.52000000002</v>
      </c>
    </row>
    <row r="139" customFormat="false" ht="15" hidden="false" customHeight="false" outlineLevel="0" collapsed="false">
      <c r="C139" s="0" t="s">
        <v>63</v>
      </c>
      <c r="D139" s="16" t="n">
        <f aca="false">E26</f>
        <v>45962</v>
      </c>
      <c r="G139" s="15" t="s">
        <v>64</v>
      </c>
    </row>
    <row r="140" customFormat="false" ht="15" hidden="false" customHeight="false" outlineLevel="0" collapsed="false">
      <c r="C140" s="0" t="s">
        <v>65</v>
      </c>
      <c r="D140" s="17" t="n">
        <f aca="false">F31</f>
        <v>0.0486</v>
      </c>
    </row>
    <row r="141" customFormat="false" ht="15" hidden="false" customHeight="false" outlineLevel="0" collapsed="false">
      <c r="C141" s="0" t="s">
        <v>66</v>
      </c>
      <c r="D141" s="17" t="n">
        <f aca="false">F33</f>
        <v>0.0484</v>
      </c>
    </row>
    <row r="142" customFormat="false" ht="15" hidden="false" customHeight="false" outlineLevel="0" collapsed="false">
      <c r="C142" s="0" t="s">
        <v>67</v>
      </c>
      <c r="D142" s="17" t="n">
        <f aca="false">F35</f>
        <v>0.4006</v>
      </c>
    </row>
    <row r="143" customFormat="false" ht="15" hidden="false" customHeight="false" outlineLevel="0" collapsed="false">
      <c r="C143" s="0" t="s">
        <v>68</v>
      </c>
      <c r="D143" s="17" t="n">
        <f aca="false">F37</f>
        <v>0.3855</v>
      </c>
    </row>
    <row r="145" customFormat="false" ht="15" hidden="false" customHeight="false" outlineLevel="0" collapsed="false">
      <c r="B145" s="0" t="s">
        <v>69</v>
      </c>
      <c r="C145" s="0" t="s">
        <v>70</v>
      </c>
      <c r="D145" s="10" t="n">
        <f aca="false">F39</f>
        <v>15005294.52</v>
      </c>
      <c r="E145" s="18" t="n">
        <f aca="false">D145/$D$137</f>
        <v>0.3855</v>
      </c>
    </row>
    <row r="146" customFormat="false" ht="15" hidden="false" customHeight="false" outlineLevel="0" collapsed="false">
      <c r="B146" s="0" t="s">
        <v>71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72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73</v>
      </c>
      <c r="C148" s="0" t="s">
        <v>33</v>
      </c>
      <c r="D148" s="10" t="n">
        <f aca="false">F45</f>
        <v>233545.44</v>
      </c>
      <c r="E148" s="18" t="n">
        <f aca="false">D148/$D$137</f>
        <v>0.006</v>
      </c>
    </row>
    <row r="149" customFormat="false" ht="15" hidden="false" customHeight="false" outlineLevel="0" collapsed="false">
      <c r="B149" s="0" t="s">
        <v>74</v>
      </c>
      <c r="C149" s="0" t="s">
        <v>36</v>
      </c>
      <c r="D149" s="10" t="n">
        <f aca="false">F47</f>
        <v>358241.35</v>
      </c>
      <c r="E149" s="18" t="n">
        <f aca="false">D149/$D$137</f>
        <v>0.00920355413490411</v>
      </c>
    </row>
    <row r="150" customFormat="false" ht="15" hidden="false" customHeight="false" outlineLevel="0" collapsed="false">
      <c r="B150" s="0" t="s">
        <v>75</v>
      </c>
      <c r="C150" s="0" t="s">
        <v>76</v>
      </c>
      <c r="D150" s="10" t="n">
        <f aca="false">F49</f>
        <v>356700</v>
      </c>
      <c r="E150" s="18" t="n">
        <f aca="false">D150/$D$137</f>
        <v>0.00916395541698438</v>
      </c>
    </row>
    <row r="151" customFormat="false" ht="15" hidden="false" customHeight="false" outlineLevel="0" collapsed="false">
      <c r="B151" s="0" t="s">
        <v>77</v>
      </c>
      <c r="C151" s="0" t="s">
        <v>78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79</v>
      </c>
      <c r="C152" s="0" t="s">
        <v>49</v>
      </c>
      <c r="D152" s="10" t="n">
        <f aca="false">F53</f>
        <v>483994.22</v>
      </c>
      <c r="E152" s="18" t="n">
        <f aca="false">D152/$D$137</f>
        <v>0.0124342625572137</v>
      </c>
    </row>
    <row r="153" customFormat="false" ht="15" hidden="false" customHeight="false" outlineLevel="0" collapsed="false">
      <c r="B153" s="0" t="s">
        <v>80</v>
      </c>
      <c r="C153" s="0" t="s">
        <v>81</v>
      </c>
      <c r="D153" s="10" t="n">
        <f aca="false">F56</f>
        <v>15023592.29</v>
      </c>
      <c r="E153" s="18" t="n">
        <f aca="false">D153/$D$137</f>
        <v>0.385970086763415</v>
      </c>
    </row>
    <row r="154" customFormat="false" ht="15" hidden="false" customHeight="false" outlineLevel="0" collapsed="false">
      <c r="B154" s="0" t="s">
        <v>82</v>
      </c>
      <c r="C154" s="0" t="s">
        <v>55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83</v>
      </c>
      <c r="D155" s="13" t="n">
        <f aca="false">D145+D146+D147+D148+D149+D150+D151-D152-D153-D154</f>
        <v>446194.799999999</v>
      </c>
      <c r="E155" s="19" t="n">
        <f aca="false">D155/D137</f>
        <v>0.0114631602312595</v>
      </c>
    </row>
    <row r="156" customFormat="false" ht="15" hidden="false" customHeight="false" outlineLevel="0" collapsed="false">
      <c r="C156" s="0" t="s">
        <v>84</v>
      </c>
      <c r="D156" s="10" t="n">
        <f aca="false">OUT25!D155</f>
        <v>421708.512</v>
      </c>
      <c r="E156" s="17" t="n">
        <f aca="false">OUT25!E155</f>
        <v>0.0108793975148934</v>
      </c>
    </row>
    <row r="160" customFormat="false" ht="15" hidden="false" customHeight="false" outlineLevel="0" collapsed="false">
      <c r="B160" s="12" t="s">
        <v>85</v>
      </c>
    </row>
    <row r="162" customFormat="false" ht="15" hidden="false" customHeight="false" outlineLevel="0" collapsed="false">
      <c r="B162" s="12" t="s">
        <v>86</v>
      </c>
    </row>
    <row r="163" customFormat="false" ht="15" hidden="false" customHeight="false" outlineLevel="0" collapsed="false">
      <c r="B163" s="0" t="s">
        <v>87</v>
      </c>
    </row>
    <row r="164" customFormat="false" ht="15" hidden="false" customHeight="false" outlineLevel="0" collapsed="false">
      <c r="B164" s="12" t="s">
        <v>88</v>
      </c>
    </row>
    <row r="165" customFormat="false" ht="15" hidden="false" customHeight="false" outlineLevel="0" collapsed="false">
      <c r="B165" s="0" t="s">
        <v>89</v>
      </c>
    </row>
    <row r="166" customFormat="false" ht="15" hidden="false" customHeight="false" outlineLevel="0" collapsed="false">
      <c r="B166" s="12" t="s">
        <v>90</v>
      </c>
    </row>
    <row r="167" customFormat="false" ht="15" hidden="false" customHeight="false" outlineLevel="0" collapsed="false">
      <c r="B167" s="0" t="s">
        <v>91</v>
      </c>
    </row>
    <row r="168" customFormat="false" ht="15" hidden="false" customHeight="false" outlineLevel="0" collapsed="false">
      <c r="B168" s="12" t="s">
        <v>92</v>
      </c>
    </row>
    <row r="169" customFormat="false" ht="15" hidden="false" customHeight="false" outlineLevel="0" collapsed="false">
      <c r="B169" s="0" t="s">
        <v>93</v>
      </c>
    </row>
    <row r="170" customFormat="false" ht="15" hidden="false" customHeight="false" outlineLevel="0" collapsed="false">
      <c r="B170" s="12" t="s">
        <v>94</v>
      </c>
    </row>
    <row r="171" customFormat="false" ht="15" hidden="false" customHeight="false" outlineLevel="0" collapsed="false">
      <c r="B171" s="0" t="s">
        <v>95</v>
      </c>
    </row>
    <row r="172" customFormat="false" ht="15" hidden="false" customHeight="false" outlineLevel="0" collapsed="false">
      <c r="B172" s="12" t="s">
        <v>96</v>
      </c>
    </row>
    <row r="173" customFormat="false" ht="15" hidden="false" customHeight="false" outlineLevel="0" collapsed="false">
      <c r="B173" s="0" t="s">
        <v>97</v>
      </c>
    </row>
    <row r="174" customFormat="false" ht="15" hidden="false" customHeight="false" outlineLevel="0" collapsed="false">
      <c r="B174" s="12" t="s">
        <v>98</v>
      </c>
    </row>
    <row r="175" customFormat="false" ht="15" hidden="false" customHeight="false" outlineLevel="0" collapsed="false">
      <c r="B175" s="0" t="s">
        <v>99</v>
      </c>
    </row>
    <row r="176" customFormat="false" ht="15" hidden="false" customHeight="false" outlineLevel="0" collapsed="false">
      <c r="B176" s="12" t="s">
        <v>100</v>
      </c>
    </row>
    <row r="177" customFormat="false" ht="15" hidden="false" customHeight="false" outlineLevel="0" collapsed="false">
      <c r="B177" s="0" t="s">
        <v>101</v>
      </c>
    </row>
    <row r="178" customFormat="false" ht="15" hidden="false" customHeight="false" outlineLevel="0" collapsed="false">
      <c r="B178" s="12" t="s">
        <v>102</v>
      </c>
    </row>
    <row r="179" customFormat="false" ht="15" hidden="false" customHeight="false" outlineLevel="0" collapsed="false">
      <c r="B179" s="0" t="s">
        <v>103</v>
      </c>
    </row>
    <row r="180" customFormat="false" ht="15" hidden="false" customHeight="false" outlineLevel="0" collapsed="false">
      <c r="B180" s="12" t="s">
        <v>104</v>
      </c>
    </row>
    <row r="181" customFormat="false" ht="15" hidden="false" customHeight="false" outlineLevel="0" collapsed="false">
      <c r="B18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45992</v>
      </c>
    </row>
    <row r="28" customFormat="false" ht="15" hidden="false" customHeight="false" outlineLevel="0" collapsed="false">
      <c r="B28" s="0" t="s">
        <v>14</v>
      </c>
      <c r="J28" s="8" t="n">
        <v>39086360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0.0495</v>
      </c>
    </row>
    <row r="33" customFormat="false" ht="15" hidden="false" customHeight="false" outlineLevel="0" collapsed="false">
      <c r="B33" s="0" t="s">
        <v>18</v>
      </c>
      <c r="F33" s="9" t="n">
        <v>0.0485</v>
      </c>
    </row>
    <row r="35" customFormat="false" ht="15" hidden="false" customHeight="false" outlineLevel="0" collapsed="false">
      <c r="B35" s="0" t="s">
        <v>19</v>
      </c>
      <c r="F35" s="9" t="n">
        <v>0.4501</v>
      </c>
    </row>
    <row r="37" customFormat="false" ht="15" hidden="false" customHeight="false" outlineLevel="0" collapsed="false">
      <c r="B37" s="0" t="s">
        <v>20</v>
      </c>
      <c r="F37" s="9" t="n">
        <v>0.434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16963480.24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156345.44</v>
      </c>
    </row>
    <row r="47" customFormat="false" ht="15" hidden="false" customHeight="false" outlineLevel="0" collapsed="false">
      <c r="B47" s="0" t="s">
        <v>25</v>
      </c>
      <c r="F47" s="10" t="n">
        <f aca="false">J88</f>
        <v>453706.45</v>
      </c>
    </row>
    <row r="49" customFormat="false" ht="15" hidden="false" customHeight="false" outlineLevel="0" collapsed="false">
      <c r="B49" s="0" t="s">
        <v>26</v>
      </c>
      <c r="F49" s="10" t="n">
        <f aca="false">E102</f>
        <v>356700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453553.24</v>
      </c>
    </row>
    <row r="55" customFormat="false" ht="15" hidden="false" customHeight="false" outlineLevel="0" collapsed="false">
      <c r="B55" s="0" t="s">
        <v>29</v>
      </c>
      <c r="F55" s="8" t="n">
        <v>17002059.96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17002059.96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G64" s="0" t="s">
        <v>106</v>
      </c>
      <c r="J64" s="14" t="n">
        <v>156345.44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156345.44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108450.41</v>
      </c>
    </row>
    <row r="79" customFormat="false" ht="15" hidden="false" customHeight="false" outlineLevel="0" collapsed="false">
      <c r="G79" s="0" t="s">
        <v>38</v>
      </c>
      <c r="J79" s="14" t="n">
        <v>141501.54</v>
      </c>
    </row>
    <row r="80" customFormat="false" ht="15" hidden="false" customHeight="false" outlineLevel="0" collapsed="false">
      <c r="G80" s="0" t="s">
        <v>39</v>
      </c>
      <c r="J80" s="14" t="n">
        <v>117395.71</v>
      </c>
    </row>
    <row r="81" customFormat="false" ht="15" hidden="false" customHeight="false" outlineLevel="0" collapsed="false">
      <c r="G81" s="0" t="s">
        <v>40</v>
      </c>
      <c r="J81" s="14" t="n">
        <v>86358.79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453706.45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96" customFormat="false" ht="15" hidden="false" customHeight="false" outlineLevel="0" collapsed="false">
      <c r="B96" s="0" t="s">
        <v>47</v>
      </c>
      <c r="E96" s="14" t="n">
        <v>52000</v>
      </c>
    </row>
    <row r="97" customFormat="false" ht="15" hidden="false" customHeight="false" outlineLevel="0" collapsed="false">
      <c r="B97" s="0" t="s">
        <v>48</v>
      </c>
      <c r="E97" s="14" t="n">
        <v>186000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356700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49</v>
      </c>
      <c r="G105" s="11" t="s">
        <v>50</v>
      </c>
    </row>
    <row r="106" customFormat="false" ht="15" hidden="false" customHeight="false" outlineLevel="0" collapsed="false">
      <c r="B106" s="0" t="s">
        <v>115</v>
      </c>
      <c r="E106" s="14" t="n">
        <v>78428.04</v>
      </c>
    </row>
    <row r="107" customFormat="false" ht="15" hidden="false" customHeight="false" outlineLevel="0" collapsed="false">
      <c r="B107" s="0" t="s">
        <v>116</v>
      </c>
      <c r="E107" s="14" t="n">
        <v>95518.94</v>
      </c>
    </row>
    <row r="108" customFormat="false" ht="15" hidden="false" customHeight="false" outlineLevel="0" collapsed="false">
      <c r="B108" s="0" t="s">
        <v>117</v>
      </c>
      <c r="E108" s="14" t="n">
        <v>126838.15</v>
      </c>
    </row>
    <row r="109" customFormat="false" ht="15" hidden="false" customHeight="false" outlineLevel="0" collapsed="false">
      <c r="B109" s="0" t="s">
        <v>118</v>
      </c>
      <c r="E109" s="14" t="n">
        <v>152768.11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453553.24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55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56</v>
      </c>
    </row>
    <row r="135" customFormat="false" ht="15" hidden="false" customHeight="false" outlineLevel="0" collapsed="false">
      <c r="G135" s="12" t="s">
        <v>57</v>
      </c>
    </row>
    <row r="136" customFormat="false" ht="15" hidden="false" customHeight="false" outlineLevel="0" collapsed="false">
      <c r="C136" s="0" t="s">
        <v>58</v>
      </c>
      <c r="D136" s="4" t="str">
        <f aca="false">D24</f>
        <v>PONTA NEGRA</v>
      </c>
      <c r="G136" s="15" t="s">
        <v>59</v>
      </c>
      <c r="J136" s="8" t="n">
        <v>2082830.01</v>
      </c>
    </row>
    <row r="137" customFormat="false" ht="15" hidden="false" customHeight="false" outlineLevel="0" collapsed="false">
      <c r="C137" s="0" t="s">
        <v>60</v>
      </c>
      <c r="D137" s="10" t="n">
        <f aca="false">J28</f>
        <v>39086360</v>
      </c>
      <c r="G137" s="15" t="s">
        <v>61</v>
      </c>
      <c r="J137" s="8" t="n">
        <v>1978467.67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62</v>
      </c>
      <c r="J138" s="10" t="n">
        <f aca="false">J137-J136</f>
        <v>-104362.34</v>
      </c>
    </row>
    <row r="139" customFormat="false" ht="15" hidden="false" customHeight="false" outlineLevel="0" collapsed="false">
      <c r="C139" s="0" t="s">
        <v>63</v>
      </c>
      <c r="D139" s="16" t="n">
        <f aca="false">E26</f>
        <v>45992</v>
      </c>
      <c r="G139" s="15" t="s">
        <v>64</v>
      </c>
    </row>
    <row r="140" customFormat="false" ht="15" hidden="false" customHeight="false" outlineLevel="0" collapsed="false">
      <c r="C140" s="0" t="s">
        <v>65</v>
      </c>
      <c r="D140" s="17" t="n">
        <f aca="false">F31</f>
        <v>0.0495</v>
      </c>
    </row>
    <row r="141" customFormat="false" ht="15" hidden="false" customHeight="false" outlineLevel="0" collapsed="false">
      <c r="C141" s="0" t="s">
        <v>66</v>
      </c>
      <c r="D141" s="17" t="n">
        <f aca="false">F33</f>
        <v>0.0485</v>
      </c>
    </row>
    <row r="142" customFormat="false" ht="15" hidden="false" customHeight="false" outlineLevel="0" collapsed="false">
      <c r="C142" s="0" t="s">
        <v>67</v>
      </c>
      <c r="D142" s="17" t="n">
        <f aca="false">F35</f>
        <v>0.4501</v>
      </c>
    </row>
    <row r="143" customFormat="false" ht="15" hidden="false" customHeight="false" outlineLevel="0" collapsed="false">
      <c r="C143" s="0" t="s">
        <v>68</v>
      </c>
      <c r="D143" s="17" t="n">
        <f aca="false">F37</f>
        <v>0.434</v>
      </c>
    </row>
    <row r="145" customFormat="false" ht="15" hidden="false" customHeight="false" outlineLevel="0" collapsed="false">
      <c r="B145" s="0" t="s">
        <v>69</v>
      </c>
      <c r="C145" s="0" t="s">
        <v>70</v>
      </c>
      <c r="D145" s="10" t="n">
        <f aca="false">F39</f>
        <v>16963480.24</v>
      </c>
      <c r="E145" s="18" t="n">
        <f aca="false">D145/$D$137</f>
        <v>0.434</v>
      </c>
    </row>
    <row r="146" customFormat="false" ht="15" hidden="false" customHeight="false" outlineLevel="0" collapsed="false">
      <c r="B146" s="0" t="s">
        <v>71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72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73</v>
      </c>
      <c r="C148" s="0" t="s">
        <v>33</v>
      </c>
      <c r="D148" s="10" t="n">
        <f aca="false">F45</f>
        <v>156345.44</v>
      </c>
      <c r="E148" s="18" t="n">
        <f aca="false">D148/$D$137</f>
        <v>0.004</v>
      </c>
    </row>
    <row r="149" customFormat="false" ht="15" hidden="false" customHeight="false" outlineLevel="0" collapsed="false">
      <c r="B149" s="0" t="s">
        <v>74</v>
      </c>
      <c r="C149" s="0" t="s">
        <v>36</v>
      </c>
      <c r="D149" s="10" t="n">
        <f aca="false">F47</f>
        <v>453706.45</v>
      </c>
      <c r="E149" s="18" t="n">
        <f aca="false">D149/$D$137</f>
        <v>0.0116077948931545</v>
      </c>
    </row>
    <row r="150" customFormat="false" ht="15" hidden="false" customHeight="false" outlineLevel="0" collapsed="false">
      <c r="B150" s="0" t="s">
        <v>75</v>
      </c>
      <c r="C150" s="0" t="s">
        <v>76</v>
      </c>
      <c r="D150" s="10" t="n">
        <f aca="false">F49</f>
        <v>356700</v>
      </c>
      <c r="E150" s="18" t="n">
        <f aca="false">D150/$D$137</f>
        <v>0.00912594572633522</v>
      </c>
    </row>
    <row r="151" customFormat="false" ht="15" hidden="false" customHeight="false" outlineLevel="0" collapsed="false">
      <c r="B151" s="0" t="s">
        <v>77</v>
      </c>
      <c r="C151" s="0" t="s">
        <v>78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79</v>
      </c>
      <c r="C152" s="0" t="s">
        <v>49</v>
      </c>
      <c r="D152" s="10" t="n">
        <f aca="false">F53</f>
        <v>453553.24</v>
      </c>
      <c r="E152" s="18" t="n">
        <f aca="false">D152/$D$137</f>
        <v>0.0116038751114199</v>
      </c>
    </row>
    <row r="153" customFormat="false" ht="15" hidden="false" customHeight="false" outlineLevel="0" collapsed="false">
      <c r="B153" s="0" t="s">
        <v>80</v>
      </c>
      <c r="C153" s="0" t="s">
        <v>81</v>
      </c>
      <c r="D153" s="10" t="n">
        <f aca="false">F56</f>
        <v>17002059.96</v>
      </c>
      <c r="E153" s="18" t="n">
        <f aca="false">D153/$D$137</f>
        <v>0.434987037933438</v>
      </c>
    </row>
    <row r="154" customFormat="false" ht="15" hidden="false" customHeight="false" outlineLevel="0" collapsed="false">
      <c r="B154" s="0" t="s">
        <v>82</v>
      </c>
      <c r="C154" s="0" t="s">
        <v>55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83</v>
      </c>
      <c r="D155" s="13" t="n">
        <f aca="false">D145+D146+D147+D148+D149+D150+D151-D152-D153-D154</f>
        <v>474618.93</v>
      </c>
      <c r="E155" s="19" t="n">
        <f aca="false">D155/D137</f>
        <v>0.0121428275746322</v>
      </c>
    </row>
    <row r="156" customFormat="false" ht="15" hidden="false" customHeight="false" outlineLevel="0" collapsed="false">
      <c r="C156" s="0" t="s">
        <v>84</v>
      </c>
      <c r="D156" s="10" t="n">
        <f aca="false">NOV25!D155</f>
        <v>446194.799999999</v>
      </c>
      <c r="E156" s="17" t="n">
        <f aca="false">NOV25!E155</f>
        <v>0.0114631602312595</v>
      </c>
    </row>
    <row r="160" customFormat="false" ht="15" hidden="false" customHeight="false" outlineLevel="0" collapsed="false">
      <c r="B160" s="12" t="s">
        <v>85</v>
      </c>
    </row>
    <row r="162" customFormat="false" ht="15" hidden="false" customHeight="false" outlineLevel="0" collapsed="false">
      <c r="B162" s="12" t="s">
        <v>86</v>
      </c>
    </row>
    <row r="163" customFormat="false" ht="15" hidden="false" customHeight="false" outlineLevel="0" collapsed="false">
      <c r="B163" s="0" t="s">
        <v>87</v>
      </c>
    </row>
    <row r="164" customFormat="false" ht="15" hidden="false" customHeight="false" outlineLevel="0" collapsed="false">
      <c r="B164" s="12" t="s">
        <v>88</v>
      </c>
    </row>
    <row r="165" customFormat="false" ht="15" hidden="false" customHeight="false" outlineLevel="0" collapsed="false">
      <c r="B165" s="0" t="s">
        <v>89</v>
      </c>
    </row>
    <row r="166" customFormat="false" ht="15" hidden="false" customHeight="false" outlineLevel="0" collapsed="false">
      <c r="B166" s="12" t="s">
        <v>90</v>
      </c>
    </row>
    <row r="167" customFormat="false" ht="15" hidden="false" customHeight="false" outlineLevel="0" collapsed="false">
      <c r="B167" s="0" t="s">
        <v>91</v>
      </c>
    </row>
    <row r="168" customFormat="false" ht="15" hidden="false" customHeight="false" outlineLevel="0" collapsed="false">
      <c r="B168" s="12" t="s">
        <v>92</v>
      </c>
    </row>
    <row r="169" customFormat="false" ht="15" hidden="false" customHeight="false" outlineLevel="0" collapsed="false">
      <c r="B169" s="0" t="s">
        <v>93</v>
      </c>
    </row>
    <row r="170" customFormat="false" ht="15" hidden="false" customHeight="false" outlineLevel="0" collapsed="false">
      <c r="B170" s="12" t="s">
        <v>94</v>
      </c>
    </row>
    <row r="171" customFormat="false" ht="15" hidden="false" customHeight="false" outlineLevel="0" collapsed="false">
      <c r="B171" s="0" t="s">
        <v>95</v>
      </c>
    </row>
    <row r="172" customFormat="false" ht="15" hidden="false" customHeight="false" outlineLevel="0" collapsed="false">
      <c r="B172" s="12" t="s">
        <v>96</v>
      </c>
    </row>
    <row r="173" customFormat="false" ht="15" hidden="false" customHeight="false" outlineLevel="0" collapsed="false">
      <c r="B173" s="0" t="s">
        <v>97</v>
      </c>
    </row>
    <row r="174" customFormat="false" ht="15" hidden="false" customHeight="false" outlineLevel="0" collapsed="false">
      <c r="B174" s="12" t="s">
        <v>98</v>
      </c>
    </row>
    <row r="175" customFormat="false" ht="15" hidden="false" customHeight="false" outlineLevel="0" collapsed="false">
      <c r="B175" s="0" t="s">
        <v>99</v>
      </c>
    </row>
    <row r="176" customFormat="false" ht="15" hidden="false" customHeight="false" outlineLevel="0" collapsed="false">
      <c r="B176" s="12" t="s">
        <v>100</v>
      </c>
    </row>
    <row r="177" customFormat="false" ht="15" hidden="false" customHeight="false" outlineLevel="0" collapsed="false">
      <c r="B177" s="0" t="s">
        <v>101</v>
      </c>
    </row>
    <row r="178" customFormat="false" ht="15" hidden="false" customHeight="false" outlineLevel="0" collapsed="false">
      <c r="B178" s="12" t="s">
        <v>102</v>
      </c>
    </row>
    <row r="179" customFormat="false" ht="15" hidden="false" customHeight="false" outlineLevel="0" collapsed="false">
      <c r="B179" s="0" t="s">
        <v>103</v>
      </c>
    </row>
    <row r="180" customFormat="false" ht="15" hidden="false" customHeight="false" outlineLevel="0" collapsed="false">
      <c r="B180" s="12" t="s">
        <v>104</v>
      </c>
    </row>
    <row r="181" customFormat="false" ht="15" hidden="false" customHeight="false" outlineLevel="0" collapsed="false">
      <c r="B18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46023</v>
      </c>
    </row>
    <row r="28" customFormat="false" ht="15" hidden="false" customHeight="false" outlineLevel="0" collapsed="false">
      <c r="B28" s="0" t="s">
        <v>14</v>
      </c>
      <c r="J28" s="8" t="n">
        <v>39248480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0.0499</v>
      </c>
    </row>
    <row r="33" customFormat="false" ht="15" hidden="false" customHeight="false" outlineLevel="0" collapsed="false">
      <c r="B33" s="0" t="s">
        <v>18</v>
      </c>
      <c r="F33" s="9" t="n">
        <v>0.0455</v>
      </c>
    </row>
    <row r="35" customFormat="false" ht="15" hidden="false" customHeight="false" outlineLevel="0" collapsed="false">
      <c r="B35" s="0" t="s">
        <v>19</v>
      </c>
      <c r="F35" s="9" t="n">
        <v>0.5</v>
      </c>
    </row>
    <row r="37" customFormat="false" ht="15" hidden="false" customHeight="false" outlineLevel="0" collapsed="false">
      <c r="B37" s="0" t="s">
        <v>20</v>
      </c>
      <c r="F37" s="9" t="n">
        <v>0.4795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18819646.16</v>
      </c>
    </row>
    <row r="41" customFormat="false" ht="15" hidden="false" customHeight="false" outlineLevel="0" collapsed="false">
      <c r="B41" s="0" t="s">
        <v>22</v>
      </c>
      <c r="F41" s="10" t="n">
        <f aca="false">E74</f>
        <v>140000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414398.61</v>
      </c>
    </row>
    <row r="49" customFormat="false" ht="15" hidden="false" customHeight="false" outlineLevel="0" collapsed="false">
      <c r="B49" s="0" t="s">
        <v>26</v>
      </c>
      <c r="F49" s="10" t="n">
        <f aca="false">E102</f>
        <v>356700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423183.18</v>
      </c>
    </row>
    <row r="55" customFormat="false" ht="15" hidden="false" customHeight="false" outlineLevel="0" collapsed="false">
      <c r="B55" s="0" t="s">
        <v>29</v>
      </c>
      <c r="F55" s="8" t="n">
        <v>18661499.32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18661499.32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119</v>
      </c>
      <c r="E64" s="14" t="n">
        <v>140000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140000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98799.47</v>
      </c>
    </row>
    <row r="79" customFormat="false" ht="15" hidden="false" customHeight="false" outlineLevel="0" collapsed="false">
      <c r="G79" s="0" t="s">
        <v>38</v>
      </c>
      <c r="J79" s="14" t="n">
        <v>101511.91</v>
      </c>
    </row>
    <row r="80" customFormat="false" ht="15" hidden="false" customHeight="false" outlineLevel="0" collapsed="false">
      <c r="G80" s="0" t="s">
        <v>39</v>
      </c>
      <c r="J80" s="14" t="n">
        <v>93483.5</v>
      </c>
    </row>
    <row r="81" customFormat="false" ht="15" hidden="false" customHeight="false" outlineLevel="0" collapsed="false">
      <c r="G81" s="0" t="s">
        <v>40</v>
      </c>
      <c r="J81" s="14" t="n">
        <v>120603.73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414398.61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96" customFormat="false" ht="15" hidden="false" customHeight="false" outlineLevel="0" collapsed="false">
      <c r="B96" s="0" t="s">
        <v>47</v>
      </c>
      <c r="E96" s="14" t="n">
        <v>52000</v>
      </c>
    </row>
    <row r="97" customFormat="false" ht="15" hidden="false" customHeight="false" outlineLevel="0" collapsed="false">
      <c r="B97" s="0" t="s">
        <v>48</v>
      </c>
      <c r="E97" s="14" t="n">
        <v>186000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356700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49</v>
      </c>
      <c r="G105" s="11" t="s">
        <v>50</v>
      </c>
    </row>
    <row r="106" customFormat="false" ht="15" hidden="false" customHeight="false" outlineLevel="0" collapsed="false">
      <c r="B106" s="0" t="s">
        <v>120</v>
      </c>
      <c r="E106" s="14" t="n">
        <v>126607.12</v>
      </c>
    </row>
    <row r="107" customFormat="false" ht="15" hidden="false" customHeight="false" outlineLevel="0" collapsed="false">
      <c r="B107" s="0" t="s">
        <v>121</v>
      </c>
      <c r="E107" s="14" t="n">
        <v>92045.23</v>
      </c>
    </row>
    <row r="108" customFormat="false" ht="15" hidden="false" customHeight="false" outlineLevel="0" collapsed="false">
      <c r="B108" s="0" t="s">
        <v>122</v>
      </c>
      <c r="E108" s="14" t="n">
        <v>83471.25</v>
      </c>
    </row>
    <row r="109" customFormat="false" ht="15" hidden="false" customHeight="false" outlineLevel="0" collapsed="false">
      <c r="B109" s="0" t="s">
        <v>123</v>
      </c>
      <c r="E109" s="14" t="n">
        <v>121059.58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423183.18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55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56</v>
      </c>
    </row>
    <row r="135" customFormat="false" ht="15" hidden="false" customHeight="false" outlineLevel="0" collapsed="false">
      <c r="G135" s="12" t="s">
        <v>57</v>
      </c>
    </row>
    <row r="136" customFormat="false" ht="15" hidden="false" customHeight="false" outlineLevel="0" collapsed="false">
      <c r="C136" s="0" t="s">
        <v>58</v>
      </c>
      <c r="D136" s="4" t="str">
        <f aca="false">D24</f>
        <v>PONTA NEGRA</v>
      </c>
      <c r="G136" s="15" t="s">
        <v>59</v>
      </c>
      <c r="J136" s="8" t="n">
        <v>1685318.91</v>
      </c>
    </row>
    <row r="137" customFormat="false" ht="15" hidden="false" customHeight="false" outlineLevel="0" collapsed="false">
      <c r="C137" s="0" t="s">
        <v>60</v>
      </c>
      <c r="D137" s="10" t="n">
        <f aca="false">J28</f>
        <v>39248480</v>
      </c>
      <c r="G137" s="15" t="s">
        <v>61</v>
      </c>
      <c r="J137" s="8" t="n">
        <v>1659439.36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62</v>
      </c>
      <c r="J138" s="10" t="n">
        <f aca="false">J137-J136</f>
        <v>-25879.5499999998</v>
      </c>
    </row>
    <row r="139" customFormat="false" ht="15" hidden="false" customHeight="false" outlineLevel="0" collapsed="false">
      <c r="C139" s="0" t="s">
        <v>63</v>
      </c>
      <c r="D139" s="16" t="n">
        <f aca="false">E26</f>
        <v>46023</v>
      </c>
      <c r="G139" s="15" t="s">
        <v>64</v>
      </c>
    </row>
    <row r="140" customFormat="false" ht="15" hidden="false" customHeight="false" outlineLevel="0" collapsed="false">
      <c r="C140" s="0" t="s">
        <v>65</v>
      </c>
      <c r="D140" s="17" t="n">
        <f aca="false">F31</f>
        <v>0.0499</v>
      </c>
    </row>
    <row r="141" customFormat="false" ht="15" hidden="false" customHeight="false" outlineLevel="0" collapsed="false">
      <c r="C141" s="0" t="s">
        <v>66</v>
      </c>
      <c r="D141" s="17" t="n">
        <f aca="false">F33</f>
        <v>0.0455</v>
      </c>
    </row>
    <row r="142" customFormat="false" ht="15" hidden="false" customHeight="false" outlineLevel="0" collapsed="false">
      <c r="C142" s="0" t="s">
        <v>67</v>
      </c>
      <c r="D142" s="17" t="n">
        <f aca="false">F35</f>
        <v>0.5</v>
      </c>
    </row>
    <row r="143" customFormat="false" ht="15" hidden="false" customHeight="false" outlineLevel="0" collapsed="false">
      <c r="C143" s="0" t="s">
        <v>68</v>
      </c>
      <c r="D143" s="17" t="n">
        <f aca="false">F37</f>
        <v>0.4795</v>
      </c>
    </row>
    <row r="145" customFormat="false" ht="15" hidden="false" customHeight="false" outlineLevel="0" collapsed="false">
      <c r="B145" s="0" t="s">
        <v>69</v>
      </c>
      <c r="C145" s="0" t="s">
        <v>70</v>
      </c>
      <c r="D145" s="10" t="n">
        <f aca="false">F39</f>
        <v>18819646.16</v>
      </c>
      <c r="E145" s="18" t="n">
        <f aca="false">D145/$D$137</f>
        <v>0.4795</v>
      </c>
    </row>
    <row r="146" customFormat="false" ht="15" hidden="false" customHeight="false" outlineLevel="0" collapsed="false">
      <c r="B146" s="0" t="s">
        <v>71</v>
      </c>
      <c r="C146" s="0" t="s">
        <v>32</v>
      </c>
      <c r="D146" s="10" t="n">
        <f aca="false">F41</f>
        <v>140000</v>
      </c>
      <c r="E146" s="18" t="n">
        <f aca="false">D146/$D$137</f>
        <v>0.00356701711760557</v>
      </c>
    </row>
    <row r="147" customFormat="false" ht="15" hidden="false" customHeight="false" outlineLevel="0" collapsed="false">
      <c r="B147" s="0" t="s">
        <v>72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73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74</v>
      </c>
      <c r="C149" s="0" t="s">
        <v>36</v>
      </c>
      <c r="D149" s="10" t="n">
        <f aca="false">F47</f>
        <v>414398.61</v>
      </c>
      <c r="E149" s="18" t="n">
        <f aca="false">D149/$D$137</f>
        <v>0.0105583352527283</v>
      </c>
    </row>
    <row r="150" customFormat="false" ht="15" hidden="false" customHeight="false" outlineLevel="0" collapsed="false">
      <c r="B150" s="0" t="s">
        <v>75</v>
      </c>
      <c r="C150" s="0" t="s">
        <v>76</v>
      </c>
      <c r="D150" s="10" t="n">
        <f aca="false">F49</f>
        <v>356700</v>
      </c>
      <c r="E150" s="18" t="n">
        <f aca="false">D150/$D$137</f>
        <v>0.00908825004178506</v>
      </c>
    </row>
    <row r="151" customFormat="false" ht="15" hidden="false" customHeight="false" outlineLevel="0" collapsed="false">
      <c r="B151" s="0" t="s">
        <v>77</v>
      </c>
      <c r="C151" s="0" t="s">
        <v>78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79</v>
      </c>
      <c r="C152" s="0" t="s">
        <v>49</v>
      </c>
      <c r="D152" s="10" t="n">
        <f aca="false">F53</f>
        <v>423183.18</v>
      </c>
      <c r="E152" s="18" t="n">
        <f aca="false">D152/$D$137</f>
        <v>0.0107821546210197</v>
      </c>
    </row>
    <row r="153" customFormat="false" ht="15" hidden="false" customHeight="false" outlineLevel="0" collapsed="false">
      <c r="B153" s="0" t="s">
        <v>80</v>
      </c>
      <c r="C153" s="0" t="s">
        <v>81</v>
      </c>
      <c r="D153" s="10" t="n">
        <f aca="false">F56</f>
        <v>18661499.32</v>
      </c>
      <c r="E153" s="18" t="n">
        <f aca="false">D153/$D$137</f>
        <v>0.475470625104463</v>
      </c>
    </row>
    <row r="154" customFormat="false" ht="15" hidden="false" customHeight="false" outlineLevel="0" collapsed="false">
      <c r="B154" s="0" t="s">
        <v>82</v>
      </c>
      <c r="C154" s="0" t="s">
        <v>55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83</v>
      </c>
      <c r="D155" s="13" t="n">
        <f aca="false">D145+D146+D147+D148+D149+D150+D151-D152-D153-D154</f>
        <v>646062.27</v>
      </c>
      <c r="E155" s="19" t="n">
        <f aca="false">D155/D137</f>
        <v>0.0164608226866365</v>
      </c>
    </row>
    <row r="156" customFormat="false" ht="15" hidden="false" customHeight="false" outlineLevel="0" collapsed="false">
      <c r="C156" s="0" t="s">
        <v>84</v>
      </c>
      <c r="D156" s="10" t="n">
        <f aca="false">DEZ25!D155</f>
        <v>474618.93</v>
      </c>
      <c r="E156" s="17" t="n">
        <f aca="false">DEZ25!E155</f>
        <v>0.0121428275746322</v>
      </c>
    </row>
    <row r="160" customFormat="false" ht="15" hidden="false" customHeight="false" outlineLevel="0" collapsed="false">
      <c r="B160" s="12" t="s">
        <v>85</v>
      </c>
    </row>
    <row r="162" customFormat="false" ht="15" hidden="false" customHeight="false" outlineLevel="0" collapsed="false">
      <c r="B162" s="12" t="s">
        <v>86</v>
      </c>
    </row>
    <row r="163" customFormat="false" ht="15" hidden="false" customHeight="false" outlineLevel="0" collapsed="false">
      <c r="B163" s="0" t="s">
        <v>87</v>
      </c>
    </row>
    <row r="164" customFormat="false" ht="15" hidden="false" customHeight="false" outlineLevel="0" collapsed="false">
      <c r="B164" s="12" t="s">
        <v>88</v>
      </c>
    </row>
    <row r="165" customFormat="false" ht="15" hidden="false" customHeight="false" outlineLevel="0" collapsed="false">
      <c r="B165" s="0" t="s">
        <v>89</v>
      </c>
    </row>
    <row r="166" customFormat="false" ht="15" hidden="false" customHeight="false" outlineLevel="0" collapsed="false">
      <c r="B166" s="12" t="s">
        <v>90</v>
      </c>
    </row>
    <row r="167" customFormat="false" ht="15" hidden="false" customHeight="false" outlineLevel="0" collapsed="false">
      <c r="B167" s="0" t="s">
        <v>91</v>
      </c>
    </row>
    <row r="168" customFormat="false" ht="15" hidden="false" customHeight="false" outlineLevel="0" collapsed="false">
      <c r="B168" s="12" t="s">
        <v>92</v>
      </c>
    </row>
    <row r="169" customFormat="false" ht="15" hidden="false" customHeight="false" outlineLevel="0" collapsed="false">
      <c r="B169" s="0" t="s">
        <v>93</v>
      </c>
    </row>
    <row r="170" customFormat="false" ht="15" hidden="false" customHeight="false" outlineLevel="0" collapsed="false">
      <c r="B170" s="12" t="s">
        <v>94</v>
      </c>
    </row>
    <row r="171" customFormat="false" ht="15" hidden="false" customHeight="false" outlineLevel="0" collapsed="false">
      <c r="B171" s="0" t="s">
        <v>95</v>
      </c>
    </row>
    <row r="172" customFormat="false" ht="15" hidden="false" customHeight="false" outlineLevel="0" collapsed="false">
      <c r="B172" s="12" t="s">
        <v>96</v>
      </c>
    </row>
    <row r="173" customFormat="false" ht="15" hidden="false" customHeight="false" outlineLevel="0" collapsed="false">
      <c r="B173" s="0" t="s">
        <v>97</v>
      </c>
    </row>
    <row r="174" customFormat="false" ht="15" hidden="false" customHeight="false" outlineLevel="0" collapsed="false">
      <c r="B174" s="12" t="s">
        <v>98</v>
      </c>
    </row>
    <row r="175" customFormat="false" ht="15" hidden="false" customHeight="false" outlineLevel="0" collapsed="false">
      <c r="B175" s="0" t="s">
        <v>99</v>
      </c>
    </row>
    <row r="176" customFormat="false" ht="15" hidden="false" customHeight="false" outlineLevel="0" collapsed="false">
      <c r="B176" s="12" t="s">
        <v>100</v>
      </c>
    </row>
    <row r="177" customFormat="false" ht="15" hidden="false" customHeight="false" outlineLevel="0" collapsed="false">
      <c r="B177" s="0" t="s">
        <v>101</v>
      </c>
    </row>
    <row r="178" customFormat="false" ht="15" hidden="false" customHeight="false" outlineLevel="0" collapsed="false">
      <c r="B178" s="12" t="s">
        <v>102</v>
      </c>
    </row>
    <row r="179" customFormat="false" ht="15" hidden="false" customHeight="false" outlineLevel="0" collapsed="false">
      <c r="B179" s="0" t="s">
        <v>103</v>
      </c>
    </row>
    <row r="180" customFormat="false" ht="15" hidden="false" customHeight="false" outlineLevel="0" collapsed="false">
      <c r="B180" s="12" t="s">
        <v>104</v>
      </c>
    </row>
    <row r="181" customFormat="false" ht="15" hidden="false" customHeight="false" outlineLevel="0" collapsed="false">
      <c r="B18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46054</v>
      </c>
    </row>
    <row r="28" customFormat="false" ht="15" hidden="false" customHeight="false" outlineLevel="0" collapsed="false">
      <c r="B28" s="0" t="s">
        <v>14</v>
      </c>
      <c r="J28" s="8" t="n">
        <v>39410600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0.0499</v>
      </c>
    </row>
    <row r="33" customFormat="false" ht="15" hidden="false" customHeight="false" outlineLevel="0" collapsed="false">
      <c r="B33" s="0" t="s">
        <v>18</v>
      </c>
      <c r="F33" s="9" t="n">
        <v>0.0443</v>
      </c>
    </row>
    <row r="35" customFormat="false" ht="15" hidden="false" customHeight="false" outlineLevel="0" collapsed="false">
      <c r="B35" s="0" t="s">
        <v>19</v>
      </c>
      <c r="F35" s="9" t="n">
        <v>0.5499</v>
      </c>
    </row>
    <row r="37" customFormat="false" ht="15" hidden="false" customHeight="false" outlineLevel="0" collapsed="false">
      <c r="B37" s="0" t="s">
        <v>20</v>
      </c>
      <c r="F37" s="9" t="n">
        <v>0.5238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20643272.28</v>
      </c>
    </row>
    <row r="41" customFormat="false" ht="15" hidden="false" customHeight="false" outlineLevel="0" collapsed="false">
      <c r="B41" s="0" t="s">
        <v>22</v>
      </c>
      <c r="F41" s="10" t="n">
        <f aca="false">E74</f>
        <v>130000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438366.29</v>
      </c>
    </row>
    <row r="49" customFormat="false" ht="15" hidden="false" customHeight="false" outlineLevel="0" collapsed="false">
      <c r="B49" s="0" t="s">
        <v>26</v>
      </c>
      <c r="F49" s="10" t="n">
        <f aca="false">E102</f>
        <v>356700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306489.37</v>
      </c>
    </row>
    <row r="55" customFormat="false" ht="15" hidden="false" customHeight="false" outlineLevel="0" collapsed="false">
      <c r="B55" s="0" t="s">
        <v>29</v>
      </c>
      <c r="F55" s="8" t="n">
        <v>20591016.94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20591016.94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119</v>
      </c>
      <c r="E64" s="14" t="n">
        <v>130000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130000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39</v>
      </c>
      <c r="J78" s="14" t="n">
        <v>64332.64</v>
      </c>
    </row>
    <row r="79" customFormat="false" ht="15" hidden="false" customHeight="false" outlineLevel="0" collapsed="false">
      <c r="G79" s="0" t="s">
        <v>124</v>
      </c>
      <c r="J79" s="14" t="n">
        <v>62410.15</v>
      </c>
    </row>
    <row r="80" customFormat="false" ht="15" hidden="false" customHeight="false" outlineLevel="0" collapsed="false">
      <c r="G80" s="0" t="s">
        <v>40</v>
      </c>
      <c r="J80" s="14" t="n">
        <v>88209.55</v>
      </c>
    </row>
    <row r="81" customFormat="false" ht="15" hidden="false" customHeight="false" outlineLevel="0" collapsed="false">
      <c r="G81" s="0" t="s">
        <v>125</v>
      </c>
      <c r="J81" s="14" t="n">
        <v>117355.77</v>
      </c>
    </row>
    <row r="82" customFormat="false" ht="15" hidden="false" customHeight="false" outlineLevel="0" collapsed="false">
      <c r="G82" s="0" t="s">
        <v>126</v>
      </c>
      <c r="J82" s="14" t="n">
        <v>106058.18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438366.29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</row>
    <row r="93" customFormat="false" ht="15" hidden="false" customHeight="false" outlineLevel="0" collapsed="false">
      <c r="B93" s="0" t="s">
        <v>44</v>
      </c>
      <c r="E93" s="14" t="n">
        <v>38500</v>
      </c>
    </row>
    <row r="94" customFormat="false" ht="15" hidden="false" customHeight="false" outlineLevel="0" collapsed="false">
      <c r="B94" s="0" t="s">
        <v>45</v>
      </c>
      <c r="E94" s="14" t="n">
        <v>64000</v>
      </c>
    </row>
    <row r="95" customFormat="false" ht="15" hidden="false" customHeight="false" outlineLevel="0" collapsed="false">
      <c r="B95" s="0" t="s">
        <v>46</v>
      </c>
      <c r="E95" s="14" t="n">
        <v>6400</v>
      </c>
    </row>
    <row r="96" customFormat="false" ht="15" hidden="false" customHeight="false" outlineLevel="0" collapsed="false">
      <c r="B96" s="0" t="s">
        <v>47</v>
      </c>
      <c r="E96" s="14" t="n">
        <v>52000</v>
      </c>
    </row>
    <row r="97" customFormat="false" ht="15" hidden="false" customHeight="false" outlineLevel="0" collapsed="false">
      <c r="B97" s="0" t="s">
        <v>48</v>
      </c>
      <c r="E97" s="14" t="n">
        <v>186000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356700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49</v>
      </c>
      <c r="G105" s="11" t="s">
        <v>50</v>
      </c>
    </row>
    <row r="106" customFormat="false" ht="15" hidden="false" customHeight="false" outlineLevel="0" collapsed="false">
      <c r="B106" s="0" t="s">
        <v>127</v>
      </c>
      <c r="E106" s="14" t="n">
        <v>62716.85</v>
      </c>
    </row>
    <row r="107" customFormat="false" ht="15" hidden="false" customHeight="false" outlineLevel="0" collapsed="false">
      <c r="B107" s="0" t="s">
        <v>128</v>
      </c>
      <c r="E107" s="14" t="n">
        <v>85898.61</v>
      </c>
    </row>
    <row r="108" customFormat="false" ht="15" hidden="false" customHeight="false" outlineLevel="0" collapsed="false">
      <c r="B108" s="0" t="s">
        <v>129</v>
      </c>
      <c r="E108" s="14" t="n">
        <v>80849.94</v>
      </c>
    </row>
    <row r="109" customFormat="false" ht="15" hidden="false" customHeight="false" outlineLevel="0" collapsed="false">
      <c r="B109" s="0" t="s">
        <v>130</v>
      </c>
      <c r="E109" s="14" t="n">
        <v>77023.97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306489.37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55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56</v>
      </c>
    </row>
    <row r="135" customFormat="false" ht="15" hidden="false" customHeight="false" outlineLevel="0" collapsed="false">
      <c r="G135" s="12" t="s">
        <v>57</v>
      </c>
    </row>
    <row r="136" customFormat="false" ht="15" hidden="false" customHeight="false" outlineLevel="0" collapsed="false">
      <c r="C136" s="0" t="s">
        <v>58</v>
      </c>
      <c r="D136" s="4" t="str">
        <f aca="false">D24</f>
        <v>PONTA NEGRA</v>
      </c>
      <c r="G136" s="15" t="s">
        <v>59</v>
      </c>
      <c r="J136" s="8" t="n">
        <v>1887659.43</v>
      </c>
    </row>
    <row r="137" customFormat="false" ht="15" hidden="false" customHeight="false" outlineLevel="0" collapsed="false">
      <c r="C137" s="0" t="s">
        <v>60</v>
      </c>
      <c r="D137" s="10" t="n">
        <f aca="false">J28</f>
        <v>39410600</v>
      </c>
      <c r="G137" s="15" t="s">
        <v>61</v>
      </c>
      <c r="J137" s="8" t="n">
        <v>1929517.62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62</v>
      </c>
      <c r="J138" s="10" t="n">
        <f aca="false">J137-J136</f>
        <v>41858.1900000002</v>
      </c>
    </row>
    <row r="139" customFormat="false" ht="15" hidden="false" customHeight="false" outlineLevel="0" collapsed="false">
      <c r="C139" s="0" t="s">
        <v>63</v>
      </c>
      <c r="D139" s="16" t="n">
        <f aca="false">E26</f>
        <v>46054</v>
      </c>
      <c r="G139" s="15" t="s">
        <v>64</v>
      </c>
    </row>
    <row r="140" customFormat="false" ht="15" hidden="false" customHeight="false" outlineLevel="0" collapsed="false">
      <c r="C140" s="0" t="s">
        <v>65</v>
      </c>
      <c r="D140" s="17" t="n">
        <f aca="false">F31</f>
        <v>0.0499</v>
      </c>
    </row>
    <row r="141" customFormat="false" ht="15" hidden="false" customHeight="false" outlineLevel="0" collapsed="false">
      <c r="C141" s="0" t="s">
        <v>66</v>
      </c>
      <c r="D141" s="17" t="n">
        <f aca="false">F33</f>
        <v>0.0443</v>
      </c>
    </row>
    <row r="142" customFormat="false" ht="15" hidden="false" customHeight="false" outlineLevel="0" collapsed="false">
      <c r="C142" s="0" t="s">
        <v>67</v>
      </c>
      <c r="D142" s="17" t="n">
        <f aca="false">F35</f>
        <v>0.5499</v>
      </c>
    </row>
    <row r="143" customFormat="false" ht="15" hidden="false" customHeight="false" outlineLevel="0" collapsed="false">
      <c r="C143" s="0" t="s">
        <v>68</v>
      </c>
      <c r="D143" s="17" t="n">
        <f aca="false">F37</f>
        <v>0.5238</v>
      </c>
    </row>
    <row r="145" customFormat="false" ht="15" hidden="false" customHeight="false" outlineLevel="0" collapsed="false">
      <c r="B145" s="0" t="s">
        <v>69</v>
      </c>
      <c r="C145" s="0" t="s">
        <v>70</v>
      </c>
      <c r="D145" s="10" t="n">
        <f aca="false">F39</f>
        <v>20643272.28</v>
      </c>
      <c r="E145" s="18" t="n">
        <f aca="false">D145/$D$137</f>
        <v>0.5238</v>
      </c>
    </row>
    <row r="146" customFormat="false" ht="15" hidden="false" customHeight="false" outlineLevel="0" collapsed="false">
      <c r="B146" s="0" t="s">
        <v>71</v>
      </c>
      <c r="C146" s="0" t="s">
        <v>32</v>
      </c>
      <c r="D146" s="10" t="n">
        <f aca="false">F41</f>
        <v>130000</v>
      </c>
      <c r="E146" s="18" t="n">
        <f aca="false">D146/$D$137</f>
        <v>0.00329860494384759</v>
      </c>
    </row>
    <row r="147" customFormat="false" ht="15" hidden="false" customHeight="false" outlineLevel="0" collapsed="false">
      <c r="B147" s="0" t="s">
        <v>72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73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74</v>
      </c>
      <c r="C149" s="0" t="s">
        <v>36</v>
      </c>
      <c r="D149" s="10" t="n">
        <f aca="false">F47</f>
        <v>438366.29</v>
      </c>
      <c r="E149" s="18" t="n">
        <f aca="false">D149/$D$137</f>
        <v>0.0111230554723856</v>
      </c>
    </row>
    <row r="150" customFormat="false" ht="15" hidden="false" customHeight="false" outlineLevel="0" collapsed="false">
      <c r="B150" s="0" t="s">
        <v>75</v>
      </c>
      <c r="C150" s="0" t="s">
        <v>76</v>
      </c>
      <c r="D150" s="10" t="n">
        <f aca="false">F49</f>
        <v>356700</v>
      </c>
      <c r="E150" s="18" t="n">
        <f aca="false">D150/$D$137</f>
        <v>0.00905086448823413</v>
      </c>
    </row>
    <row r="151" customFormat="false" ht="15" hidden="false" customHeight="false" outlineLevel="0" collapsed="false">
      <c r="B151" s="0" t="s">
        <v>77</v>
      </c>
      <c r="C151" s="0" t="s">
        <v>78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79</v>
      </c>
      <c r="C152" s="0" t="s">
        <v>49</v>
      </c>
      <c r="D152" s="10" t="n">
        <f aca="false">F53</f>
        <v>306489.37</v>
      </c>
      <c r="E152" s="18" t="n">
        <f aca="false">D152/$D$137</f>
        <v>0.00777682577783642</v>
      </c>
    </row>
    <row r="153" customFormat="false" ht="15" hidden="false" customHeight="false" outlineLevel="0" collapsed="false">
      <c r="B153" s="0" t="s">
        <v>80</v>
      </c>
      <c r="C153" s="0" t="s">
        <v>81</v>
      </c>
      <c r="D153" s="10" t="n">
        <f aca="false">F56</f>
        <v>20591016.94</v>
      </c>
      <c r="E153" s="18" t="n">
        <f aca="false">D153/$D$137</f>
        <v>0.522474079054874</v>
      </c>
    </row>
    <row r="154" customFormat="false" ht="15" hidden="false" customHeight="false" outlineLevel="0" collapsed="false">
      <c r="B154" s="0" t="s">
        <v>82</v>
      </c>
      <c r="C154" s="0" t="s">
        <v>55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83</v>
      </c>
      <c r="D155" s="13" t="n">
        <f aca="false">D145+D146+D147+D148+D149+D150+D151-D152-D153-D154</f>
        <v>670832.259999998</v>
      </c>
      <c r="E155" s="19" t="n">
        <f aca="false">D155/D137</f>
        <v>0.0170216200717573</v>
      </c>
    </row>
    <row r="156" customFormat="false" ht="15" hidden="false" customHeight="false" outlineLevel="0" collapsed="false">
      <c r="C156" s="0" t="s">
        <v>84</v>
      </c>
      <c r="D156" s="10" t="n">
        <f aca="false">JAN26!D155</f>
        <v>646062.27</v>
      </c>
      <c r="E156" s="17" t="n">
        <f aca="false">JAN26!E155</f>
        <v>0.0164608226866365</v>
      </c>
    </row>
    <row r="160" customFormat="false" ht="15" hidden="false" customHeight="false" outlineLevel="0" collapsed="false">
      <c r="B160" s="12" t="s">
        <v>85</v>
      </c>
    </row>
    <row r="162" customFormat="false" ht="15" hidden="false" customHeight="false" outlineLevel="0" collapsed="false">
      <c r="B162" s="12" t="s">
        <v>86</v>
      </c>
    </row>
    <row r="163" customFormat="false" ht="15" hidden="false" customHeight="false" outlineLevel="0" collapsed="false">
      <c r="B163" s="0" t="s">
        <v>87</v>
      </c>
    </row>
    <row r="164" customFormat="false" ht="15" hidden="false" customHeight="false" outlineLevel="0" collapsed="false">
      <c r="B164" s="12" t="s">
        <v>88</v>
      </c>
    </row>
    <row r="165" customFormat="false" ht="15" hidden="false" customHeight="false" outlineLevel="0" collapsed="false">
      <c r="B165" s="0" t="s">
        <v>89</v>
      </c>
    </row>
    <row r="166" customFormat="false" ht="15" hidden="false" customHeight="false" outlineLevel="0" collapsed="false">
      <c r="B166" s="12" t="s">
        <v>90</v>
      </c>
    </row>
    <row r="167" customFormat="false" ht="15" hidden="false" customHeight="false" outlineLevel="0" collapsed="false">
      <c r="B167" s="0" t="s">
        <v>91</v>
      </c>
    </row>
    <row r="168" customFormat="false" ht="15" hidden="false" customHeight="false" outlineLevel="0" collapsed="false">
      <c r="B168" s="12" t="s">
        <v>92</v>
      </c>
    </row>
    <row r="169" customFormat="false" ht="15" hidden="false" customHeight="false" outlineLevel="0" collapsed="false">
      <c r="B169" s="0" t="s">
        <v>93</v>
      </c>
    </row>
    <row r="170" customFormat="false" ht="15" hidden="false" customHeight="false" outlineLevel="0" collapsed="false">
      <c r="B170" s="12" t="s">
        <v>94</v>
      </c>
    </row>
    <row r="171" customFormat="false" ht="15" hidden="false" customHeight="false" outlineLevel="0" collapsed="false">
      <c r="B171" s="0" t="s">
        <v>95</v>
      </c>
    </row>
    <row r="172" customFormat="false" ht="15" hidden="false" customHeight="false" outlineLevel="0" collapsed="false">
      <c r="B172" s="12" t="s">
        <v>96</v>
      </c>
    </row>
    <row r="173" customFormat="false" ht="15" hidden="false" customHeight="false" outlineLevel="0" collapsed="false">
      <c r="B173" s="0" t="s">
        <v>97</v>
      </c>
    </row>
    <row r="174" customFormat="false" ht="15" hidden="false" customHeight="false" outlineLevel="0" collapsed="false">
      <c r="B174" s="12" t="s">
        <v>98</v>
      </c>
    </row>
    <row r="175" customFormat="false" ht="15" hidden="false" customHeight="false" outlineLevel="0" collapsed="false">
      <c r="B175" s="0" t="s">
        <v>99</v>
      </c>
    </row>
    <row r="176" customFormat="false" ht="15" hidden="false" customHeight="false" outlineLevel="0" collapsed="false">
      <c r="B176" s="12" t="s">
        <v>100</v>
      </c>
    </row>
    <row r="177" customFormat="false" ht="15" hidden="false" customHeight="false" outlineLevel="0" collapsed="false">
      <c r="B177" s="0" t="s">
        <v>101</v>
      </c>
    </row>
    <row r="178" customFormat="false" ht="15" hidden="false" customHeight="false" outlineLevel="0" collapsed="false">
      <c r="B178" s="12" t="s">
        <v>102</v>
      </c>
    </row>
    <row r="179" customFormat="false" ht="15" hidden="false" customHeight="false" outlineLevel="0" collapsed="false">
      <c r="B179" s="0" t="s">
        <v>103</v>
      </c>
    </row>
    <row r="180" customFormat="false" ht="15" hidden="false" customHeight="false" outlineLevel="0" collapsed="false">
      <c r="B180" s="12" t="s">
        <v>104</v>
      </c>
    </row>
    <row r="181" customFormat="false" ht="15" hidden="false" customHeight="false" outlineLevel="0" collapsed="false">
      <c r="B18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46082</v>
      </c>
    </row>
    <row r="28" customFormat="false" ht="15" hidden="false" customHeight="false" outlineLevel="0" collapsed="false">
      <c r="B28" s="0" t="s">
        <v>14</v>
      </c>
      <c r="J28" s="8" t="n">
        <v>39572720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0.0495</v>
      </c>
    </row>
    <row r="33" customFormat="false" ht="15" hidden="false" customHeight="false" outlineLevel="0" collapsed="false">
      <c r="B33" s="0" t="s">
        <v>18</v>
      </c>
      <c r="F33" s="9" t="n">
        <v>0.0448</v>
      </c>
    </row>
    <row r="35" customFormat="false" ht="15" hidden="false" customHeight="false" outlineLevel="0" collapsed="false">
      <c r="B35" s="0" t="s">
        <v>19</v>
      </c>
      <c r="F35" s="9" t="n">
        <v>0.5994</v>
      </c>
    </row>
    <row r="37" customFormat="false" ht="15" hidden="false" customHeight="false" outlineLevel="0" collapsed="false">
      <c r="B37" s="0" t="s">
        <v>20</v>
      </c>
      <c r="F37" s="9" t="n">
        <v>0.5686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22501048.592</v>
      </c>
    </row>
    <row r="41" customFormat="false" ht="15" hidden="false" customHeight="false" outlineLevel="0" collapsed="false">
      <c r="B41" s="0" t="s">
        <v>22</v>
      </c>
      <c r="F41" s="10" t="n">
        <f aca="false">E74</f>
        <v>120000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98931.8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459519.66</v>
      </c>
    </row>
    <row r="49" customFormat="false" ht="15" hidden="false" customHeight="false" outlineLevel="0" collapsed="false">
      <c r="B49" s="0" t="s">
        <v>26</v>
      </c>
      <c r="F49" s="10" t="n">
        <f aca="false">E102</f>
        <v>356700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64000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423328.06</v>
      </c>
    </row>
    <row r="55" customFormat="false" ht="15" hidden="false" customHeight="false" outlineLevel="0" collapsed="false">
      <c r="B55" s="0" t="s">
        <v>29</v>
      </c>
      <c r="F55" s="8" t="n">
        <v>22493155.97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22493155.97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119</v>
      </c>
      <c r="E64" s="14" t="n">
        <v>120000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120000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B78" s="0" t="s">
        <v>131</v>
      </c>
      <c r="E78" s="14" t="n">
        <v>98931.8</v>
      </c>
      <c r="G78" s="15" t="s">
        <v>39</v>
      </c>
      <c r="J78" s="14" t="n">
        <v>77982.29</v>
      </c>
    </row>
    <row r="79" customFormat="false" ht="15" hidden="false" customHeight="false" outlineLevel="0" collapsed="false">
      <c r="G79" s="0" t="s">
        <v>124</v>
      </c>
      <c r="J79" s="14" t="n">
        <v>84583.73</v>
      </c>
    </row>
    <row r="80" customFormat="false" ht="15" hidden="false" customHeight="false" outlineLevel="0" collapsed="false">
      <c r="G80" s="0" t="s">
        <v>40</v>
      </c>
      <c r="J80" s="14" t="n">
        <v>77160.93</v>
      </c>
    </row>
    <row r="81" customFormat="false" ht="15" hidden="false" customHeight="false" outlineLevel="0" collapsed="false">
      <c r="G81" s="0" t="s">
        <v>125</v>
      </c>
      <c r="J81" s="14" t="n">
        <v>97856.44</v>
      </c>
    </row>
    <row r="82" customFormat="false" ht="15" hidden="false" customHeight="false" outlineLevel="0" collapsed="false">
      <c r="G82" s="0" t="s">
        <v>126</v>
      </c>
      <c r="J82" s="14" t="n">
        <v>121936.27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98931.8</v>
      </c>
      <c r="G88" s="12" t="s">
        <v>34</v>
      </c>
      <c r="J88" s="13" t="n">
        <f aca="false">SUM(J78:J87)</f>
        <v>459519.66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  <c r="G92" s="15" t="s">
        <v>132</v>
      </c>
      <c r="J92" s="14" t="n">
        <v>9725.98</v>
      </c>
    </row>
    <row r="93" customFormat="false" ht="15" hidden="false" customHeight="false" outlineLevel="0" collapsed="false">
      <c r="B93" s="0" t="s">
        <v>44</v>
      </c>
      <c r="E93" s="14" t="n">
        <v>38500</v>
      </c>
      <c r="G93" s="15" t="s">
        <v>133</v>
      </c>
      <c r="J93" s="14" t="n">
        <v>7810.11</v>
      </c>
    </row>
    <row r="94" customFormat="false" ht="15" hidden="false" customHeight="false" outlineLevel="0" collapsed="false">
      <c r="B94" s="0" t="s">
        <v>45</v>
      </c>
      <c r="E94" s="14" t="n">
        <v>64000</v>
      </c>
      <c r="G94" s="15" t="s">
        <v>134</v>
      </c>
      <c r="J94" s="14" t="n">
        <v>16319.08</v>
      </c>
    </row>
    <row r="95" customFormat="false" ht="15" hidden="false" customHeight="false" outlineLevel="0" collapsed="false">
      <c r="B95" s="0" t="s">
        <v>46</v>
      </c>
      <c r="E95" s="14" t="n">
        <v>6400</v>
      </c>
      <c r="G95" s="15" t="s">
        <v>135</v>
      </c>
      <c r="J95" s="14" t="n">
        <v>13015.61</v>
      </c>
    </row>
    <row r="96" customFormat="false" ht="15" hidden="false" customHeight="false" outlineLevel="0" collapsed="false">
      <c r="B96" s="0" t="s">
        <v>47</v>
      </c>
      <c r="E96" s="14" t="n">
        <v>52000</v>
      </c>
      <c r="G96" s="15" t="s">
        <v>136</v>
      </c>
      <c r="J96" s="14" t="n">
        <v>17129.22</v>
      </c>
    </row>
    <row r="97" customFormat="false" ht="15" hidden="false" customHeight="false" outlineLevel="0" collapsed="false">
      <c r="B97" s="0" t="s">
        <v>48</v>
      </c>
      <c r="E97" s="14" t="n">
        <v>186000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356700</v>
      </c>
      <c r="G102" s="12" t="s">
        <v>34</v>
      </c>
      <c r="J102" s="13" t="n">
        <f aca="false">SUM(J92:J101)</f>
        <v>64000</v>
      </c>
    </row>
    <row r="105" customFormat="false" ht="15" hidden="false" customHeight="false" outlineLevel="0" collapsed="false">
      <c r="B105" s="11" t="s">
        <v>49</v>
      </c>
      <c r="G105" s="11" t="s">
        <v>50</v>
      </c>
    </row>
    <row r="106" customFormat="false" ht="15" hidden="false" customHeight="false" outlineLevel="0" collapsed="false">
      <c r="B106" s="0" t="s">
        <v>137</v>
      </c>
      <c r="E106" s="14" t="n">
        <v>83066.2</v>
      </c>
    </row>
    <row r="107" customFormat="false" ht="15" hidden="false" customHeight="false" outlineLevel="0" collapsed="false">
      <c r="B107" s="0" t="s">
        <v>138</v>
      </c>
      <c r="E107" s="14" t="n">
        <v>147117.43</v>
      </c>
    </row>
    <row r="108" customFormat="false" ht="15" hidden="false" customHeight="false" outlineLevel="0" collapsed="false">
      <c r="B108" s="0" t="s">
        <v>139</v>
      </c>
      <c r="E108" s="14" t="n">
        <v>113135.68</v>
      </c>
    </row>
    <row r="109" customFormat="false" ht="15" hidden="false" customHeight="false" outlineLevel="0" collapsed="false">
      <c r="B109" s="0" t="s">
        <v>140</v>
      </c>
      <c r="E109" s="14" t="n">
        <v>80008.75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423328.06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55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56</v>
      </c>
    </row>
    <row r="135" customFormat="false" ht="15" hidden="false" customHeight="false" outlineLevel="0" collapsed="false">
      <c r="G135" s="12" t="s">
        <v>57</v>
      </c>
    </row>
    <row r="136" customFormat="false" ht="15" hidden="false" customHeight="false" outlineLevel="0" collapsed="false">
      <c r="C136" s="0" t="s">
        <v>58</v>
      </c>
      <c r="D136" s="4" t="str">
        <f aca="false">D24</f>
        <v>PONTA NEGRA</v>
      </c>
      <c r="G136" s="15" t="s">
        <v>59</v>
      </c>
      <c r="J136" s="8" t="n">
        <v>1805346.48</v>
      </c>
    </row>
    <row r="137" customFormat="false" ht="15" hidden="false" customHeight="false" outlineLevel="0" collapsed="false">
      <c r="C137" s="0" t="s">
        <v>60</v>
      </c>
      <c r="D137" s="10" t="n">
        <f aca="false">J28</f>
        <v>39572720</v>
      </c>
      <c r="G137" s="15" t="s">
        <v>61</v>
      </c>
      <c r="J137" s="8" t="n">
        <v>1902139.03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62</v>
      </c>
      <c r="J138" s="10" t="n">
        <f aca="false">J137-J136</f>
        <v>96792.5500000001</v>
      </c>
    </row>
    <row r="139" customFormat="false" ht="15" hidden="false" customHeight="false" outlineLevel="0" collapsed="false">
      <c r="C139" s="0" t="s">
        <v>63</v>
      </c>
      <c r="D139" s="16" t="n">
        <f aca="false">E26</f>
        <v>46082</v>
      </c>
      <c r="G139" s="15" t="s">
        <v>64</v>
      </c>
    </row>
    <row r="140" customFormat="false" ht="15" hidden="false" customHeight="false" outlineLevel="0" collapsed="false">
      <c r="C140" s="0" t="s">
        <v>65</v>
      </c>
      <c r="D140" s="17" t="n">
        <f aca="false">F31</f>
        <v>0.0495</v>
      </c>
    </row>
    <row r="141" customFormat="false" ht="15" hidden="false" customHeight="false" outlineLevel="0" collapsed="false">
      <c r="C141" s="0" t="s">
        <v>66</v>
      </c>
      <c r="D141" s="17" t="n">
        <f aca="false">F33</f>
        <v>0.0448</v>
      </c>
    </row>
    <row r="142" customFormat="false" ht="15" hidden="false" customHeight="false" outlineLevel="0" collapsed="false">
      <c r="C142" s="0" t="s">
        <v>67</v>
      </c>
      <c r="D142" s="17" t="n">
        <f aca="false">F35</f>
        <v>0.5994</v>
      </c>
    </row>
    <row r="143" customFormat="false" ht="15" hidden="false" customHeight="false" outlineLevel="0" collapsed="false">
      <c r="C143" s="0" t="s">
        <v>68</v>
      </c>
      <c r="D143" s="17" t="n">
        <f aca="false">F37</f>
        <v>0.5686</v>
      </c>
    </row>
    <row r="145" customFormat="false" ht="15" hidden="false" customHeight="false" outlineLevel="0" collapsed="false">
      <c r="B145" s="0" t="s">
        <v>69</v>
      </c>
      <c r="C145" s="0" t="s">
        <v>70</v>
      </c>
      <c r="D145" s="10" t="n">
        <f aca="false">F39</f>
        <v>22501048.592</v>
      </c>
      <c r="E145" s="18" t="n">
        <f aca="false">D145/$D$137</f>
        <v>0.5686</v>
      </c>
    </row>
    <row r="146" customFormat="false" ht="15" hidden="false" customHeight="false" outlineLevel="0" collapsed="false">
      <c r="B146" s="0" t="s">
        <v>71</v>
      </c>
      <c r="C146" s="0" t="s">
        <v>32</v>
      </c>
      <c r="D146" s="10" t="n">
        <f aca="false">F41</f>
        <v>120000</v>
      </c>
      <c r="E146" s="18" t="n">
        <f aca="false">D146/$D$137</f>
        <v>0.00303239201146649</v>
      </c>
    </row>
    <row r="147" customFormat="false" ht="15" hidden="false" customHeight="false" outlineLevel="0" collapsed="false">
      <c r="B147" s="0" t="s">
        <v>72</v>
      </c>
      <c r="C147" s="0" t="s">
        <v>35</v>
      </c>
      <c r="D147" s="10" t="n">
        <f aca="false">F43</f>
        <v>98931.8</v>
      </c>
      <c r="E147" s="18" t="n">
        <f aca="false">D147/$D$137</f>
        <v>0.0025</v>
      </c>
    </row>
    <row r="148" customFormat="false" ht="15" hidden="false" customHeight="false" outlineLevel="0" collapsed="false">
      <c r="B148" s="0" t="s">
        <v>73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74</v>
      </c>
      <c r="C149" s="0" t="s">
        <v>36</v>
      </c>
      <c r="D149" s="10" t="n">
        <f aca="false">F47</f>
        <v>459519.66</v>
      </c>
      <c r="E149" s="18" t="n">
        <f aca="false">D149/$D$137</f>
        <v>0.011612031217465</v>
      </c>
    </row>
    <row r="150" customFormat="false" ht="15" hidden="false" customHeight="false" outlineLevel="0" collapsed="false">
      <c r="B150" s="0" t="s">
        <v>75</v>
      </c>
      <c r="C150" s="0" t="s">
        <v>76</v>
      </c>
      <c r="D150" s="10" t="n">
        <f aca="false">F49</f>
        <v>356700</v>
      </c>
      <c r="E150" s="18" t="n">
        <f aca="false">D150/$D$137</f>
        <v>0.00901378525408413</v>
      </c>
    </row>
    <row r="151" customFormat="false" ht="15" hidden="false" customHeight="false" outlineLevel="0" collapsed="false">
      <c r="B151" s="0" t="s">
        <v>77</v>
      </c>
      <c r="C151" s="0" t="s">
        <v>78</v>
      </c>
      <c r="D151" s="10" t="n">
        <f aca="false">F51</f>
        <v>64000</v>
      </c>
      <c r="E151" s="18" t="n">
        <f aca="false">D151/$D$137</f>
        <v>0.00161727573944879</v>
      </c>
    </row>
    <row r="152" customFormat="false" ht="15" hidden="false" customHeight="false" outlineLevel="0" collapsed="false">
      <c r="B152" s="0" t="s">
        <v>79</v>
      </c>
      <c r="C152" s="0" t="s">
        <v>49</v>
      </c>
      <c r="D152" s="10" t="n">
        <f aca="false">F53</f>
        <v>423328.06</v>
      </c>
      <c r="E152" s="18" t="n">
        <f aca="false">D152/$D$137</f>
        <v>0.01069747189478</v>
      </c>
    </row>
    <row r="153" customFormat="false" ht="15" hidden="false" customHeight="false" outlineLevel="0" collapsed="false">
      <c r="B153" s="0" t="s">
        <v>80</v>
      </c>
      <c r="C153" s="0" t="s">
        <v>81</v>
      </c>
      <c r="D153" s="10" t="n">
        <f aca="false">F56</f>
        <v>22493155.97</v>
      </c>
      <c r="E153" s="18" t="n">
        <f aca="false">D153/$D$137</f>
        <v>0.568400553967481</v>
      </c>
    </row>
    <row r="154" customFormat="false" ht="15" hidden="false" customHeight="false" outlineLevel="0" collapsed="false">
      <c r="B154" s="0" t="s">
        <v>82</v>
      </c>
      <c r="C154" s="0" t="s">
        <v>55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83</v>
      </c>
      <c r="D155" s="13" t="n">
        <f aca="false">D145+D146+D147+D148+D149+D150+D151-D152-D153-D154</f>
        <v>683716.022000004</v>
      </c>
      <c r="E155" s="19" t="n">
        <f aca="false">D155/D137</f>
        <v>0.0172774583602038</v>
      </c>
    </row>
    <row r="156" customFormat="false" ht="15" hidden="false" customHeight="false" outlineLevel="0" collapsed="false">
      <c r="C156" s="0" t="s">
        <v>84</v>
      </c>
      <c r="D156" s="10" t="n">
        <f aca="false">FEV26!D155</f>
        <v>670832.259999998</v>
      </c>
      <c r="E156" s="17" t="n">
        <f aca="false">FEV26!E155</f>
        <v>0.0170216200717573</v>
      </c>
    </row>
    <row r="160" customFormat="false" ht="15" hidden="false" customHeight="false" outlineLevel="0" collapsed="false">
      <c r="B160" s="12" t="s">
        <v>85</v>
      </c>
    </row>
    <row r="162" customFormat="false" ht="15" hidden="false" customHeight="false" outlineLevel="0" collapsed="false">
      <c r="B162" s="12" t="s">
        <v>86</v>
      </c>
    </row>
    <row r="163" customFormat="false" ht="15" hidden="false" customHeight="false" outlineLevel="0" collapsed="false">
      <c r="B163" s="0" t="s">
        <v>87</v>
      </c>
    </row>
    <row r="164" customFormat="false" ht="15" hidden="false" customHeight="false" outlineLevel="0" collapsed="false">
      <c r="B164" s="12" t="s">
        <v>88</v>
      </c>
    </row>
    <row r="165" customFormat="false" ht="15" hidden="false" customHeight="false" outlineLevel="0" collapsed="false">
      <c r="B165" s="0" t="s">
        <v>89</v>
      </c>
    </row>
    <row r="166" customFormat="false" ht="15" hidden="false" customHeight="false" outlineLevel="0" collapsed="false">
      <c r="B166" s="12" t="s">
        <v>90</v>
      </c>
    </row>
    <row r="167" customFormat="false" ht="15" hidden="false" customHeight="false" outlineLevel="0" collapsed="false">
      <c r="B167" s="0" t="s">
        <v>91</v>
      </c>
    </row>
    <row r="168" customFormat="false" ht="15" hidden="false" customHeight="false" outlineLevel="0" collapsed="false">
      <c r="B168" s="12" t="s">
        <v>92</v>
      </c>
    </row>
    <row r="169" customFormat="false" ht="15" hidden="false" customHeight="false" outlineLevel="0" collapsed="false">
      <c r="B169" s="0" t="s">
        <v>93</v>
      </c>
    </row>
    <row r="170" customFormat="false" ht="15" hidden="false" customHeight="false" outlineLevel="0" collapsed="false">
      <c r="B170" s="12" t="s">
        <v>94</v>
      </c>
    </row>
    <row r="171" customFormat="false" ht="15" hidden="false" customHeight="false" outlineLevel="0" collapsed="false">
      <c r="B171" s="0" t="s">
        <v>95</v>
      </c>
    </row>
    <row r="172" customFormat="false" ht="15" hidden="false" customHeight="false" outlineLevel="0" collapsed="false">
      <c r="B172" s="12" t="s">
        <v>96</v>
      </c>
    </row>
    <row r="173" customFormat="false" ht="15" hidden="false" customHeight="false" outlineLevel="0" collapsed="false">
      <c r="B173" s="0" t="s">
        <v>97</v>
      </c>
    </row>
    <row r="174" customFormat="false" ht="15" hidden="false" customHeight="false" outlineLevel="0" collapsed="false">
      <c r="B174" s="12" t="s">
        <v>98</v>
      </c>
    </row>
    <row r="175" customFormat="false" ht="15" hidden="false" customHeight="false" outlineLevel="0" collapsed="false">
      <c r="B175" s="0" t="s">
        <v>99</v>
      </c>
    </row>
    <row r="176" customFormat="false" ht="15" hidden="false" customHeight="false" outlineLevel="0" collapsed="false">
      <c r="B176" s="12" t="s">
        <v>100</v>
      </c>
    </row>
    <row r="177" customFormat="false" ht="15" hidden="false" customHeight="false" outlineLevel="0" collapsed="false">
      <c r="B177" s="0" t="s">
        <v>101</v>
      </c>
    </row>
    <row r="178" customFormat="false" ht="15" hidden="false" customHeight="false" outlineLevel="0" collapsed="false">
      <c r="B178" s="12" t="s">
        <v>102</v>
      </c>
    </row>
    <row r="179" customFormat="false" ht="15" hidden="false" customHeight="false" outlineLevel="0" collapsed="false">
      <c r="B179" s="0" t="s">
        <v>103</v>
      </c>
    </row>
    <row r="180" customFormat="false" ht="15" hidden="false" customHeight="false" outlineLevel="0" collapsed="false">
      <c r="B180" s="12" t="s">
        <v>104</v>
      </c>
    </row>
    <row r="181" customFormat="false" ht="15" hidden="false" customHeight="false" outlineLevel="0" collapsed="false">
      <c r="B18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46113</v>
      </c>
    </row>
    <row r="28" customFormat="false" ht="15" hidden="false" customHeight="false" outlineLevel="0" collapsed="false">
      <c r="B28" s="0" t="s">
        <v>14</v>
      </c>
      <c r="J28" s="8" t="n">
        <v>39734840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0.0486</v>
      </c>
    </row>
    <row r="33" customFormat="false" ht="15" hidden="false" customHeight="false" outlineLevel="0" collapsed="false">
      <c r="B33" s="0" t="s">
        <v>18</v>
      </c>
      <c r="F33" s="9" t="n">
        <v>0.0419</v>
      </c>
    </row>
    <row r="35" customFormat="false" ht="15" hidden="false" customHeight="false" outlineLevel="0" collapsed="false">
      <c r="B35" s="0" t="s">
        <v>19</v>
      </c>
      <c r="F35" s="9" t="n">
        <v>0.648</v>
      </c>
    </row>
    <row r="37" customFormat="false" ht="15" hidden="false" customHeight="false" outlineLevel="0" collapsed="false">
      <c r="B37" s="0" t="s">
        <v>20</v>
      </c>
      <c r="F37" s="9" t="n">
        <v>0.6105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24258119.82</v>
      </c>
    </row>
    <row r="41" customFormat="false" ht="15" hidden="false" customHeight="false" outlineLevel="0" collapsed="false">
      <c r="B41" s="0" t="s">
        <v>22</v>
      </c>
      <c r="F41" s="10" t="n">
        <f aca="false">E74</f>
        <v>110000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99337.1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525575.93</v>
      </c>
    </row>
    <row r="49" customFormat="false" ht="15" hidden="false" customHeight="false" outlineLevel="0" collapsed="false">
      <c r="B49" s="0" t="s">
        <v>26</v>
      </c>
      <c r="F49" s="10" t="n">
        <f aca="false">E102</f>
        <v>356700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90000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337429.71</v>
      </c>
    </row>
    <row r="55" customFormat="false" ht="15" hidden="false" customHeight="false" outlineLevel="0" collapsed="false">
      <c r="B55" s="0" t="s">
        <v>29</v>
      </c>
      <c r="F55" s="8" t="n">
        <v>24405619.55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24405619.55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119</v>
      </c>
      <c r="E64" s="14" t="n">
        <v>110000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110000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B78" s="0" t="s">
        <v>131</v>
      </c>
      <c r="E78" s="14" t="n">
        <v>99337.1</v>
      </c>
      <c r="G78" s="15" t="s">
        <v>39</v>
      </c>
      <c r="J78" s="14" t="n">
        <v>143551.09</v>
      </c>
    </row>
    <row r="79" customFormat="false" ht="15" hidden="false" customHeight="false" outlineLevel="0" collapsed="false">
      <c r="G79" s="0" t="s">
        <v>124</v>
      </c>
      <c r="J79" s="14" t="n">
        <v>136038.04</v>
      </c>
    </row>
    <row r="80" customFormat="false" ht="15" hidden="false" customHeight="false" outlineLevel="0" collapsed="false">
      <c r="G80" s="0" t="s">
        <v>40</v>
      </c>
      <c r="J80" s="14" t="n">
        <v>92174.35</v>
      </c>
    </row>
    <row r="81" customFormat="false" ht="15" hidden="false" customHeight="false" outlineLevel="0" collapsed="false">
      <c r="G81" s="0" t="s">
        <v>125</v>
      </c>
      <c r="J81" s="14" t="n">
        <v>82420.99</v>
      </c>
    </row>
    <row r="82" customFormat="false" ht="15" hidden="false" customHeight="false" outlineLevel="0" collapsed="false">
      <c r="G82" s="0" t="s">
        <v>126</v>
      </c>
      <c r="J82" s="14" t="n">
        <v>71391.46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99337.1</v>
      </c>
      <c r="G88" s="12" t="s">
        <v>34</v>
      </c>
      <c r="J88" s="13" t="n">
        <f aca="false">SUM(J78:J87)</f>
        <v>525575.93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  <c r="G92" s="15" t="s">
        <v>132</v>
      </c>
      <c r="J92" s="14" t="n">
        <v>13677.17</v>
      </c>
    </row>
    <row r="93" customFormat="false" ht="15" hidden="false" customHeight="false" outlineLevel="0" collapsed="false">
      <c r="B93" s="0" t="s">
        <v>44</v>
      </c>
      <c r="E93" s="14" t="n">
        <v>38500</v>
      </c>
      <c r="G93" s="15" t="s">
        <v>133</v>
      </c>
      <c r="J93" s="14" t="n">
        <v>10982.97</v>
      </c>
    </row>
    <row r="94" customFormat="false" ht="15" hidden="false" customHeight="false" outlineLevel="0" collapsed="false">
      <c r="B94" s="0" t="s">
        <v>45</v>
      </c>
      <c r="E94" s="14" t="n">
        <v>64000</v>
      </c>
      <c r="G94" s="15" t="s">
        <v>134</v>
      </c>
      <c r="J94" s="14" t="n">
        <v>22948.7</v>
      </c>
    </row>
    <row r="95" customFormat="false" ht="15" hidden="false" customHeight="false" outlineLevel="0" collapsed="false">
      <c r="B95" s="0" t="s">
        <v>46</v>
      </c>
      <c r="E95" s="14" t="n">
        <v>6400</v>
      </c>
      <c r="G95" s="15" t="s">
        <v>135</v>
      </c>
      <c r="J95" s="14" t="n">
        <v>18303.21</v>
      </c>
    </row>
    <row r="96" customFormat="false" ht="15" hidden="false" customHeight="false" outlineLevel="0" collapsed="false">
      <c r="B96" s="0" t="s">
        <v>47</v>
      </c>
      <c r="E96" s="14" t="n">
        <v>52000</v>
      </c>
      <c r="G96" s="15" t="s">
        <v>136</v>
      </c>
      <c r="J96" s="14" t="n">
        <v>24087.95</v>
      </c>
    </row>
    <row r="97" customFormat="false" ht="15" hidden="false" customHeight="false" outlineLevel="0" collapsed="false">
      <c r="B97" s="0" t="s">
        <v>48</v>
      </c>
      <c r="E97" s="14" t="n">
        <v>186000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356700</v>
      </c>
      <c r="G102" s="12" t="s">
        <v>34</v>
      </c>
      <c r="J102" s="13" t="n">
        <f aca="false">SUM(J92:J101)</f>
        <v>90000</v>
      </c>
    </row>
    <row r="105" customFormat="false" ht="15" hidden="false" customHeight="false" outlineLevel="0" collapsed="false">
      <c r="B105" s="11" t="s">
        <v>49</v>
      </c>
      <c r="G105" s="11" t="s">
        <v>50</v>
      </c>
    </row>
    <row r="106" customFormat="false" ht="15" hidden="false" customHeight="false" outlineLevel="0" collapsed="false">
      <c r="B106" s="0" t="s">
        <v>141</v>
      </c>
      <c r="E106" s="14" t="n">
        <v>65595.76</v>
      </c>
    </row>
    <row r="107" customFormat="false" ht="15" hidden="false" customHeight="false" outlineLevel="0" collapsed="false">
      <c r="B107" s="0" t="s">
        <v>142</v>
      </c>
      <c r="E107" s="14" t="n">
        <v>106308.89</v>
      </c>
    </row>
    <row r="108" customFormat="false" ht="15" hidden="false" customHeight="false" outlineLevel="0" collapsed="false">
      <c r="B108" s="0" t="s">
        <v>143</v>
      </c>
      <c r="E108" s="14" t="n">
        <v>51727.96</v>
      </c>
    </row>
    <row r="109" customFormat="false" ht="15" hidden="false" customHeight="false" outlineLevel="0" collapsed="false">
      <c r="B109" s="0" t="s">
        <v>144</v>
      </c>
      <c r="E109" s="14" t="n">
        <v>113797.1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337429.71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55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56</v>
      </c>
    </row>
    <row r="135" customFormat="false" ht="15" hidden="false" customHeight="false" outlineLevel="0" collapsed="false">
      <c r="G135" s="12" t="s">
        <v>57</v>
      </c>
    </row>
    <row r="136" customFormat="false" ht="15" hidden="false" customHeight="false" outlineLevel="0" collapsed="false">
      <c r="C136" s="0" t="s">
        <v>58</v>
      </c>
      <c r="D136" s="4" t="str">
        <f aca="false">D24</f>
        <v>PONTA NEGRA</v>
      </c>
      <c r="G136" s="15" t="s">
        <v>59</v>
      </c>
      <c r="J136" s="8" t="n">
        <v>1757236.54</v>
      </c>
    </row>
    <row r="137" customFormat="false" ht="15" hidden="false" customHeight="false" outlineLevel="0" collapsed="false">
      <c r="C137" s="0" t="s">
        <v>60</v>
      </c>
      <c r="D137" s="10" t="n">
        <f aca="false">J28</f>
        <v>39734840</v>
      </c>
      <c r="G137" s="15" t="s">
        <v>61</v>
      </c>
      <c r="J137" s="8" t="n">
        <v>1912463.58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62</v>
      </c>
      <c r="J138" s="10" t="n">
        <f aca="false">J137-J136</f>
        <v>155227.04</v>
      </c>
    </row>
    <row r="139" customFormat="false" ht="15" hidden="false" customHeight="false" outlineLevel="0" collapsed="false">
      <c r="C139" s="0" t="s">
        <v>63</v>
      </c>
      <c r="D139" s="16" t="n">
        <f aca="false">E26</f>
        <v>46113</v>
      </c>
      <c r="G139" s="15" t="s">
        <v>64</v>
      </c>
    </row>
    <row r="140" customFormat="false" ht="15" hidden="false" customHeight="false" outlineLevel="0" collapsed="false">
      <c r="C140" s="0" t="s">
        <v>65</v>
      </c>
      <c r="D140" s="17" t="n">
        <f aca="false">F31</f>
        <v>0.0486</v>
      </c>
    </row>
    <row r="141" customFormat="false" ht="15" hidden="false" customHeight="false" outlineLevel="0" collapsed="false">
      <c r="C141" s="0" t="s">
        <v>66</v>
      </c>
      <c r="D141" s="17" t="n">
        <f aca="false">F33</f>
        <v>0.0419</v>
      </c>
    </row>
    <row r="142" customFormat="false" ht="15" hidden="false" customHeight="false" outlineLevel="0" collapsed="false">
      <c r="C142" s="0" t="s">
        <v>67</v>
      </c>
      <c r="D142" s="17" t="n">
        <f aca="false">F35</f>
        <v>0.648</v>
      </c>
    </row>
    <row r="143" customFormat="false" ht="15" hidden="false" customHeight="false" outlineLevel="0" collapsed="false">
      <c r="C143" s="0" t="s">
        <v>68</v>
      </c>
      <c r="D143" s="17" t="n">
        <f aca="false">F37</f>
        <v>0.6105</v>
      </c>
    </row>
    <row r="145" customFormat="false" ht="15" hidden="false" customHeight="false" outlineLevel="0" collapsed="false">
      <c r="B145" s="0" t="s">
        <v>69</v>
      </c>
      <c r="C145" s="0" t="s">
        <v>70</v>
      </c>
      <c r="D145" s="10" t="n">
        <f aca="false">F39</f>
        <v>24258119.82</v>
      </c>
      <c r="E145" s="18" t="n">
        <f aca="false">D145/$D$137</f>
        <v>0.6105</v>
      </c>
    </row>
    <row r="146" customFormat="false" ht="15" hidden="false" customHeight="false" outlineLevel="0" collapsed="false">
      <c r="B146" s="0" t="s">
        <v>71</v>
      </c>
      <c r="C146" s="0" t="s">
        <v>32</v>
      </c>
      <c r="D146" s="10" t="n">
        <f aca="false">F41</f>
        <v>110000</v>
      </c>
      <c r="E146" s="18" t="n">
        <f aca="false">D146/$D$137</f>
        <v>0.00276835140144015</v>
      </c>
    </row>
    <row r="147" customFormat="false" ht="15" hidden="false" customHeight="false" outlineLevel="0" collapsed="false">
      <c r="B147" s="0" t="s">
        <v>72</v>
      </c>
      <c r="C147" s="0" t="s">
        <v>35</v>
      </c>
      <c r="D147" s="10" t="n">
        <f aca="false">F43</f>
        <v>99337.1</v>
      </c>
      <c r="E147" s="18" t="n">
        <f aca="false">D147/$D$137</f>
        <v>0.0025</v>
      </c>
    </row>
    <row r="148" customFormat="false" ht="15" hidden="false" customHeight="false" outlineLevel="0" collapsed="false">
      <c r="B148" s="0" t="s">
        <v>73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74</v>
      </c>
      <c r="C149" s="0" t="s">
        <v>36</v>
      </c>
      <c r="D149" s="10" t="n">
        <f aca="false">F47</f>
        <v>525575.93</v>
      </c>
      <c r="E149" s="18" t="n">
        <f aca="false">D149/$D$137</f>
        <v>0.0132270805670792</v>
      </c>
    </row>
    <row r="150" customFormat="false" ht="15" hidden="false" customHeight="false" outlineLevel="0" collapsed="false">
      <c r="B150" s="0" t="s">
        <v>75</v>
      </c>
      <c r="C150" s="0" t="s">
        <v>76</v>
      </c>
      <c r="D150" s="10" t="n">
        <f aca="false">F49</f>
        <v>356700</v>
      </c>
      <c r="E150" s="18" t="n">
        <f aca="false">D150/$D$137</f>
        <v>0.00897700858994273</v>
      </c>
    </row>
    <row r="151" customFormat="false" ht="15" hidden="false" customHeight="false" outlineLevel="0" collapsed="false">
      <c r="B151" s="0" t="s">
        <v>77</v>
      </c>
      <c r="C151" s="0" t="s">
        <v>78</v>
      </c>
      <c r="D151" s="10" t="n">
        <f aca="false">F51</f>
        <v>90000</v>
      </c>
      <c r="E151" s="18" t="n">
        <f aca="false">D151/$D$137</f>
        <v>0.00226501478299648</v>
      </c>
    </row>
    <row r="152" customFormat="false" ht="15" hidden="false" customHeight="false" outlineLevel="0" collapsed="false">
      <c r="B152" s="0" t="s">
        <v>79</v>
      </c>
      <c r="C152" s="0" t="s">
        <v>49</v>
      </c>
      <c r="D152" s="10" t="n">
        <f aca="false">F53</f>
        <v>337429.71</v>
      </c>
      <c r="E152" s="18" t="n">
        <f aca="false">D152/$D$137</f>
        <v>0.00849203645969129</v>
      </c>
    </row>
    <row r="153" customFormat="false" ht="15" hidden="false" customHeight="false" outlineLevel="0" collapsed="false">
      <c r="B153" s="0" t="s">
        <v>80</v>
      </c>
      <c r="C153" s="0" t="s">
        <v>81</v>
      </c>
      <c r="D153" s="10" t="n">
        <f aca="false">F56</f>
        <v>24405619.55</v>
      </c>
      <c r="E153" s="18" t="n">
        <f aca="false">D153/$D$137</f>
        <v>0.614212100765978</v>
      </c>
    </row>
    <row r="154" customFormat="false" ht="15" hidden="false" customHeight="false" outlineLevel="0" collapsed="false">
      <c r="B154" s="0" t="s">
        <v>82</v>
      </c>
      <c r="C154" s="0" t="s">
        <v>55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83</v>
      </c>
      <c r="D155" s="13" t="n">
        <f aca="false">D145+D146+D147+D148+D149+D150+D151-D152-D153-D154</f>
        <v>696683.59</v>
      </c>
      <c r="E155" s="19" t="n">
        <f aca="false">D155/D137</f>
        <v>0.0175333181157896</v>
      </c>
    </row>
    <row r="156" customFormat="false" ht="15" hidden="false" customHeight="false" outlineLevel="0" collapsed="false">
      <c r="C156" s="0" t="s">
        <v>84</v>
      </c>
      <c r="D156" s="10" t="n">
        <f aca="false">MAR26!D155</f>
        <v>683716.022000004</v>
      </c>
      <c r="E156" s="17" t="n">
        <f aca="false">MAR26!E155</f>
        <v>0.0172774583602038</v>
      </c>
    </row>
    <row r="160" customFormat="false" ht="15" hidden="false" customHeight="false" outlineLevel="0" collapsed="false">
      <c r="B160" s="12" t="s">
        <v>85</v>
      </c>
    </row>
    <row r="162" customFormat="false" ht="15" hidden="false" customHeight="false" outlineLevel="0" collapsed="false">
      <c r="B162" s="12" t="s">
        <v>86</v>
      </c>
    </row>
    <row r="163" customFormat="false" ht="15" hidden="false" customHeight="false" outlineLevel="0" collapsed="false">
      <c r="B163" s="0" t="s">
        <v>87</v>
      </c>
    </row>
    <row r="164" customFormat="false" ht="15" hidden="false" customHeight="false" outlineLevel="0" collapsed="false">
      <c r="B164" s="12" t="s">
        <v>88</v>
      </c>
    </row>
    <row r="165" customFormat="false" ht="15" hidden="false" customHeight="false" outlineLevel="0" collapsed="false">
      <c r="B165" s="0" t="s">
        <v>89</v>
      </c>
    </row>
    <row r="166" customFormat="false" ht="15" hidden="false" customHeight="false" outlineLevel="0" collapsed="false">
      <c r="B166" s="12" t="s">
        <v>90</v>
      </c>
    </row>
    <row r="167" customFormat="false" ht="15" hidden="false" customHeight="false" outlineLevel="0" collapsed="false">
      <c r="B167" s="0" t="s">
        <v>91</v>
      </c>
    </row>
    <row r="168" customFormat="false" ht="15" hidden="false" customHeight="false" outlineLevel="0" collapsed="false">
      <c r="B168" s="12" t="s">
        <v>92</v>
      </c>
    </row>
    <row r="169" customFormat="false" ht="15" hidden="false" customHeight="false" outlineLevel="0" collapsed="false">
      <c r="B169" s="0" t="s">
        <v>93</v>
      </c>
    </row>
    <row r="170" customFormat="false" ht="15" hidden="false" customHeight="false" outlineLevel="0" collapsed="false">
      <c r="B170" s="12" t="s">
        <v>94</v>
      </c>
    </row>
    <row r="171" customFormat="false" ht="15" hidden="false" customHeight="false" outlineLevel="0" collapsed="false">
      <c r="B171" s="0" t="s">
        <v>95</v>
      </c>
    </row>
    <row r="172" customFormat="false" ht="15" hidden="false" customHeight="false" outlineLevel="0" collapsed="false">
      <c r="B172" s="12" t="s">
        <v>96</v>
      </c>
    </row>
    <row r="173" customFormat="false" ht="15" hidden="false" customHeight="false" outlineLevel="0" collapsed="false">
      <c r="B173" s="0" t="s">
        <v>97</v>
      </c>
    </row>
    <row r="174" customFormat="false" ht="15" hidden="false" customHeight="false" outlineLevel="0" collapsed="false">
      <c r="B174" s="12" t="s">
        <v>98</v>
      </c>
    </row>
    <row r="175" customFormat="false" ht="15" hidden="false" customHeight="false" outlineLevel="0" collapsed="false">
      <c r="B175" s="0" t="s">
        <v>99</v>
      </c>
    </row>
    <row r="176" customFormat="false" ht="15" hidden="false" customHeight="false" outlineLevel="0" collapsed="false">
      <c r="B176" s="12" t="s">
        <v>100</v>
      </c>
    </row>
    <row r="177" customFormat="false" ht="15" hidden="false" customHeight="false" outlineLevel="0" collapsed="false">
      <c r="B177" s="0" t="s">
        <v>101</v>
      </c>
    </row>
    <row r="178" customFormat="false" ht="15" hidden="false" customHeight="false" outlineLevel="0" collapsed="false">
      <c r="B178" s="12" t="s">
        <v>102</v>
      </c>
    </row>
    <row r="179" customFormat="false" ht="15" hidden="false" customHeight="false" outlineLevel="0" collapsed="false">
      <c r="B179" s="0" t="s">
        <v>103</v>
      </c>
    </row>
    <row r="180" customFormat="false" ht="15" hidden="false" customHeight="false" outlineLevel="0" collapsed="false">
      <c r="B180" s="12" t="s">
        <v>104</v>
      </c>
    </row>
    <row r="181" customFormat="false" ht="15" hidden="false" customHeight="false" outlineLevel="0" collapsed="false">
      <c r="B18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46143</v>
      </c>
    </row>
    <row r="28" customFormat="false" ht="15" hidden="false" customHeight="false" outlineLevel="0" collapsed="false">
      <c r="B28" s="0" t="s">
        <v>14</v>
      </c>
      <c r="J28" s="8" t="n">
        <v>39896960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0.0473</v>
      </c>
    </row>
    <row r="33" customFormat="false" ht="15" hidden="false" customHeight="false" outlineLevel="0" collapsed="false">
      <c r="B33" s="0" t="s">
        <v>18</v>
      </c>
      <c r="F33" s="9" t="n">
        <v>0.0412</v>
      </c>
    </row>
    <row r="35" customFormat="false" ht="15" hidden="false" customHeight="false" outlineLevel="0" collapsed="false">
      <c r="B35" s="0" t="s">
        <v>19</v>
      </c>
      <c r="F35" s="9" t="n">
        <v>0.6953</v>
      </c>
    </row>
    <row r="37" customFormat="false" ht="15" hidden="false" customHeight="false" outlineLevel="0" collapsed="false">
      <c r="B37" s="0" t="s">
        <v>20</v>
      </c>
      <c r="F37" s="9" t="n">
        <v>0.6517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26000848.832</v>
      </c>
    </row>
    <row r="41" customFormat="false" ht="15" hidden="false" customHeight="false" outlineLevel="0" collapsed="false">
      <c r="B41" s="0" t="s">
        <v>22</v>
      </c>
      <c r="F41" s="10" t="n">
        <f aca="false">E74</f>
        <v>100000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99742.4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560804.98</v>
      </c>
    </row>
    <row r="49" customFormat="false" ht="15" hidden="false" customHeight="false" outlineLevel="0" collapsed="false">
      <c r="B49" s="0" t="s">
        <v>26</v>
      </c>
      <c r="F49" s="10" t="n">
        <f aca="false">E102</f>
        <v>356700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116000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341851.28</v>
      </c>
    </row>
    <row r="55" customFormat="false" ht="15" hidden="false" customHeight="false" outlineLevel="0" collapsed="false">
      <c r="B55" s="0" t="s">
        <v>29</v>
      </c>
      <c r="F55" s="8" t="n">
        <v>26181752.52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26181752.52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119</v>
      </c>
      <c r="E64" s="14" t="n">
        <v>100000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100000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B78" s="0" t="s">
        <v>131</v>
      </c>
      <c r="E78" s="14" t="n">
        <v>99742.4</v>
      </c>
      <c r="G78" s="15" t="s">
        <v>39</v>
      </c>
      <c r="J78" s="14" t="n">
        <v>72748.62</v>
      </c>
    </row>
    <row r="79" customFormat="false" ht="15" hidden="false" customHeight="false" outlineLevel="0" collapsed="false">
      <c r="G79" s="0" t="s">
        <v>124</v>
      </c>
      <c r="J79" s="14" t="n">
        <v>124075.24</v>
      </c>
    </row>
    <row r="80" customFormat="false" ht="15" hidden="false" customHeight="false" outlineLevel="0" collapsed="false">
      <c r="G80" s="0" t="s">
        <v>40</v>
      </c>
      <c r="J80" s="14" t="n">
        <v>135099.76</v>
      </c>
    </row>
    <row r="81" customFormat="false" ht="15" hidden="false" customHeight="false" outlineLevel="0" collapsed="false">
      <c r="G81" s="0" t="s">
        <v>125</v>
      </c>
      <c r="J81" s="14" t="n">
        <v>127795.01</v>
      </c>
    </row>
    <row r="82" customFormat="false" ht="15" hidden="false" customHeight="false" outlineLevel="0" collapsed="false">
      <c r="G82" s="0" t="s">
        <v>126</v>
      </c>
      <c r="J82" s="14" t="n">
        <v>101086.35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99742.4</v>
      </c>
      <c r="G88" s="12" t="s">
        <v>34</v>
      </c>
      <c r="J88" s="13" t="n">
        <f aca="false">SUM(J78:J87)</f>
        <v>560804.98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  <c r="G92" s="15" t="s">
        <v>132</v>
      </c>
      <c r="J92" s="14" t="n">
        <v>14596.84</v>
      </c>
    </row>
    <row r="93" customFormat="false" ht="15" hidden="false" customHeight="false" outlineLevel="0" collapsed="false">
      <c r="B93" s="0" t="s">
        <v>44</v>
      </c>
      <c r="E93" s="14" t="n">
        <v>38500</v>
      </c>
      <c r="G93" s="15" t="s">
        <v>133</v>
      </c>
      <c r="J93" s="14" t="n">
        <v>11721.48</v>
      </c>
    </row>
    <row r="94" customFormat="false" ht="15" hidden="false" customHeight="false" outlineLevel="0" collapsed="false">
      <c r="B94" s="0" t="s">
        <v>45</v>
      </c>
      <c r="E94" s="14" t="n">
        <v>64000</v>
      </c>
      <c r="G94" s="15" t="s">
        <v>134</v>
      </c>
      <c r="J94" s="14" t="n">
        <v>24491.82</v>
      </c>
    </row>
    <row r="95" customFormat="false" ht="15" hidden="false" customHeight="false" outlineLevel="0" collapsed="false">
      <c r="B95" s="0" t="s">
        <v>46</v>
      </c>
      <c r="E95" s="14" t="n">
        <v>6400</v>
      </c>
      <c r="G95" s="15" t="s">
        <v>135</v>
      </c>
      <c r="J95" s="14" t="n">
        <v>19533.95</v>
      </c>
    </row>
    <row r="96" customFormat="false" ht="15" hidden="false" customHeight="false" outlineLevel="0" collapsed="false">
      <c r="B96" s="0" t="s">
        <v>47</v>
      </c>
      <c r="E96" s="14" t="n">
        <v>52000</v>
      </c>
      <c r="G96" s="15" t="s">
        <v>136</v>
      </c>
      <c r="J96" s="14" t="n">
        <v>25707.67</v>
      </c>
    </row>
    <row r="97" customFormat="false" ht="15" hidden="false" customHeight="false" outlineLevel="0" collapsed="false">
      <c r="B97" s="0" t="s">
        <v>48</v>
      </c>
      <c r="E97" s="14" t="n">
        <v>186000</v>
      </c>
      <c r="G97" s="15" t="s">
        <v>145</v>
      </c>
      <c r="J97" s="14" t="n">
        <v>19948.24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356700</v>
      </c>
      <c r="G102" s="12" t="s">
        <v>34</v>
      </c>
      <c r="J102" s="13" t="n">
        <f aca="false">SUM(J92:J101)</f>
        <v>116000</v>
      </c>
    </row>
    <row r="105" customFormat="false" ht="15" hidden="false" customHeight="false" outlineLevel="0" collapsed="false">
      <c r="B105" s="11" t="s">
        <v>49</v>
      </c>
      <c r="G105" s="11" t="s">
        <v>50</v>
      </c>
    </row>
    <row r="106" customFormat="false" ht="15" hidden="false" customHeight="false" outlineLevel="0" collapsed="false">
      <c r="B106" s="0" t="s">
        <v>146</v>
      </c>
      <c r="E106" s="14" t="n">
        <v>87236.65</v>
      </c>
    </row>
    <row r="107" customFormat="false" ht="15" hidden="false" customHeight="false" outlineLevel="0" collapsed="false">
      <c r="B107" s="0" t="s">
        <v>147</v>
      </c>
      <c r="E107" s="14" t="n">
        <v>59542.27</v>
      </c>
    </row>
    <row r="108" customFormat="false" ht="15" hidden="false" customHeight="false" outlineLevel="0" collapsed="false">
      <c r="B108" s="0" t="s">
        <v>148</v>
      </c>
      <c r="E108" s="14" t="n">
        <v>106520.94</v>
      </c>
    </row>
    <row r="109" customFormat="false" ht="15" hidden="false" customHeight="false" outlineLevel="0" collapsed="false">
      <c r="B109" s="0" t="s">
        <v>149</v>
      </c>
      <c r="E109" s="14" t="n">
        <v>88551.42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341851.28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55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56</v>
      </c>
    </row>
    <row r="135" customFormat="false" ht="15" hidden="false" customHeight="false" outlineLevel="0" collapsed="false">
      <c r="G135" s="12" t="s">
        <v>57</v>
      </c>
    </row>
    <row r="136" customFormat="false" ht="15" hidden="false" customHeight="false" outlineLevel="0" collapsed="false">
      <c r="C136" s="0" t="s">
        <v>58</v>
      </c>
      <c r="D136" s="4" t="str">
        <f aca="false">D24</f>
        <v>PONTA NEGRA</v>
      </c>
      <c r="G136" s="15" t="s">
        <v>59</v>
      </c>
      <c r="J136" s="8" t="n">
        <v>1688152.67</v>
      </c>
    </row>
    <row r="137" customFormat="false" ht="15" hidden="false" customHeight="false" outlineLevel="0" collapsed="false">
      <c r="C137" s="0" t="s">
        <v>60</v>
      </c>
      <c r="D137" s="10" t="n">
        <f aca="false">J28</f>
        <v>39896960</v>
      </c>
      <c r="G137" s="15" t="s">
        <v>61</v>
      </c>
      <c r="J137" s="8" t="n">
        <v>1776132.97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62</v>
      </c>
      <c r="J138" s="10" t="n">
        <f aca="false">J137-J136</f>
        <v>87980.3000000001</v>
      </c>
    </row>
    <row r="139" customFormat="false" ht="15" hidden="false" customHeight="false" outlineLevel="0" collapsed="false">
      <c r="C139" s="0" t="s">
        <v>63</v>
      </c>
      <c r="D139" s="16" t="n">
        <f aca="false">E26</f>
        <v>46143</v>
      </c>
      <c r="G139" s="15" t="s">
        <v>64</v>
      </c>
    </row>
    <row r="140" customFormat="false" ht="15" hidden="false" customHeight="false" outlineLevel="0" collapsed="false">
      <c r="C140" s="0" t="s">
        <v>65</v>
      </c>
      <c r="D140" s="17" t="n">
        <f aca="false">F31</f>
        <v>0.0473</v>
      </c>
    </row>
    <row r="141" customFormat="false" ht="15" hidden="false" customHeight="false" outlineLevel="0" collapsed="false">
      <c r="C141" s="0" t="s">
        <v>66</v>
      </c>
      <c r="D141" s="17" t="n">
        <f aca="false">F33</f>
        <v>0.0412</v>
      </c>
    </row>
    <row r="142" customFormat="false" ht="15" hidden="false" customHeight="false" outlineLevel="0" collapsed="false">
      <c r="C142" s="0" t="s">
        <v>67</v>
      </c>
      <c r="D142" s="17" t="n">
        <f aca="false">F35</f>
        <v>0.6953</v>
      </c>
    </row>
    <row r="143" customFormat="false" ht="15" hidden="false" customHeight="false" outlineLevel="0" collapsed="false">
      <c r="C143" s="0" t="s">
        <v>68</v>
      </c>
      <c r="D143" s="17" t="n">
        <f aca="false">F37</f>
        <v>0.6517</v>
      </c>
    </row>
    <row r="145" customFormat="false" ht="15" hidden="false" customHeight="false" outlineLevel="0" collapsed="false">
      <c r="B145" s="0" t="s">
        <v>69</v>
      </c>
      <c r="C145" s="0" t="s">
        <v>70</v>
      </c>
      <c r="D145" s="10" t="n">
        <f aca="false">F39</f>
        <v>26000848.832</v>
      </c>
      <c r="E145" s="18" t="n">
        <f aca="false">D145/$D$137</f>
        <v>0.6517</v>
      </c>
    </row>
    <row r="146" customFormat="false" ht="15" hidden="false" customHeight="false" outlineLevel="0" collapsed="false">
      <c r="B146" s="0" t="s">
        <v>71</v>
      </c>
      <c r="C146" s="0" t="s">
        <v>32</v>
      </c>
      <c r="D146" s="10" t="n">
        <f aca="false">F41</f>
        <v>100000</v>
      </c>
      <c r="E146" s="18" t="n">
        <f aca="false">D146/$D$137</f>
        <v>0.00250645663228477</v>
      </c>
    </row>
    <row r="147" customFormat="false" ht="15" hidden="false" customHeight="false" outlineLevel="0" collapsed="false">
      <c r="B147" s="0" t="s">
        <v>72</v>
      </c>
      <c r="C147" s="0" t="s">
        <v>35</v>
      </c>
      <c r="D147" s="10" t="n">
        <f aca="false">F43</f>
        <v>99742.4</v>
      </c>
      <c r="E147" s="18" t="n">
        <f aca="false">D147/$D$137</f>
        <v>0.0025</v>
      </c>
    </row>
    <row r="148" customFormat="false" ht="15" hidden="false" customHeight="false" outlineLevel="0" collapsed="false">
      <c r="B148" s="0" t="s">
        <v>73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74</v>
      </c>
      <c r="C149" s="0" t="s">
        <v>36</v>
      </c>
      <c r="D149" s="10" t="n">
        <f aca="false">F47</f>
        <v>560804.98</v>
      </c>
      <c r="E149" s="18" t="n">
        <f aca="false">D149/$D$137</f>
        <v>0.0140563336153933</v>
      </c>
    </row>
    <row r="150" customFormat="false" ht="15" hidden="false" customHeight="false" outlineLevel="0" collapsed="false">
      <c r="B150" s="0" t="s">
        <v>75</v>
      </c>
      <c r="C150" s="0" t="s">
        <v>76</v>
      </c>
      <c r="D150" s="10" t="n">
        <f aca="false">F49</f>
        <v>356700</v>
      </c>
      <c r="E150" s="18" t="n">
        <f aca="false">D150/$D$137</f>
        <v>0.00894053080735976</v>
      </c>
    </row>
    <row r="151" customFormat="false" ht="15" hidden="false" customHeight="false" outlineLevel="0" collapsed="false">
      <c r="B151" s="0" t="s">
        <v>77</v>
      </c>
      <c r="C151" s="0" t="s">
        <v>78</v>
      </c>
      <c r="D151" s="10" t="n">
        <f aca="false">F51</f>
        <v>116000</v>
      </c>
      <c r="E151" s="18" t="n">
        <f aca="false">D151/$D$137</f>
        <v>0.00290748969345033</v>
      </c>
    </row>
    <row r="152" customFormat="false" ht="15" hidden="false" customHeight="false" outlineLevel="0" collapsed="false">
      <c r="B152" s="0" t="s">
        <v>79</v>
      </c>
      <c r="C152" s="0" t="s">
        <v>49</v>
      </c>
      <c r="D152" s="10" t="n">
        <f aca="false">F53</f>
        <v>341851.28</v>
      </c>
      <c r="E152" s="18" t="n">
        <f aca="false">D152/$D$137</f>
        <v>0.00856835408011036</v>
      </c>
    </row>
    <row r="153" customFormat="false" ht="15" hidden="false" customHeight="false" outlineLevel="0" collapsed="false">
      <c r="B153" s="0" t="s">
        <v>80</v>
      </c>
      <c r="C153" s="0" t="s">
        <v>81</v>
      </c>
      <c r="D153" s="10" t="n">
        <f aca="false">F56</f>
        <v>26181752.52</v>
      </c>
      <c r="E153" s="18" t="n">
        <f aca="false">D153/$D$137</f>
        <v>0.656234272485924</v>
      </c>
    </row>
    <row r="154" customFormat="false" ht="15" hidden="false" customHeight="false" outlineLevel="0" collapsed="false">
      <c r="B154" s="0" t="s">
        <v>82</v>
      </c>
      <c r="C154" s="0" t="s">
        <v>55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83</v>
      </c>
      <c r="D155" s="13" t="n">
        <f aca="false">D145+D146+D147+D148+D149+D150+D151-D152-D153-D154</f>
        <v>710492.411999997</v>
      </c>
      <c r="E155" s="19" t="n">
        <f aca="false">D155/D137</f>
        <v>0.0178081841824539</v>
      </c>
    </row>
    <row r="156" customFormat="false" ht="15" hidden="false" customHeight="false" outlineLevel="0" collapsed="false">
      <c r="C156" s="0" t="s">
        <v>84</v>
      </c>
      <c r="D156" s="10" t="n">
        <f aca="false">ABR26!D155</f>
        <v>696683.59</v>
      </c>
      <c r="E156" s="17" t="n">
        <f aca="false">ABR26!E155</f>
        <v>0.0175333181157896</v>
      </c>
    </row>
    <row r="160" customFormat="false" ht="15" hidden="false" customHeight="false" outlineLevel="0" collapsed="false">
      <c r="B160" s="12" t="s">
        <v>85</v>
      </c>
    </row>
    <row r="162" customFormat="false" ht="15" hidden="false" customHeight="false" outlineLevel="0" collapsed="false">
      <c r="B162" s="12" t="s">
        <v>86</v>
      </c>
    </row>
    <row r="163" customFormat="false" ht="15" hidden="false" customHeight="false" outlineLevel="0" collapsed="false">
      <c r="B163" s="0" t="s">
        <v>87</v>
      </c>
    </row>
    <row r="164" customFormat="false" ht="15" hidden="false" customHeight="false" outlineLevel="0" collapsed="false">
      <c r="B164" s="12" t="s">
        <v>88</v>
      </c>
    </row>
    <row r="165" customFormat="false" ht="15" hidden="false" customHeight="false" outlineLevel="0" collapsed="false">
      <c r="B165" s="0" t="s">
        <v>89</v>
      </c>
    </row>
    <row r="166" customFormat="false" ht="15" hidden="false" customHeight="false" outlineLevel="0" collapsed="false">
      <c r="B166" s="12" t="s">
        <v>90</v>
      </c>
    </row>
    <row r="167" customFormat="false" ht="15" hidden="false" customHeight="false" outlineLevel="0" collapsed="false">
      <c r="B167" s="0" t="s">
        <v>91</v>
      </c>
    </row>
    <row r="168" customFormat="false" ht="15" hidden="false" customHeight="false" outlineLevel="0" collapsed="false">
      <c r="B168" s="12" t="s">
        <v>92</v>
      </c>
    </row>
    <row r="169" customFormat="false" ht="15" hidden="false" customHeight="false" outlineLevel="0" collapsed="false">
      <c r="B169" s="0" t="s">
        <v>93</v>
      </c>
    </row>
    <row r="170" customFormat="false" ht="15" hidden="false" customHeight="false" outlineLevel="0" collapsed="false">
      <c r="B170" s="12" t="s">
        <v>94</v>
      </c>
    </row>
    <row r="171" customFormat="false" ht="15" hidden="false" customHeight="false" outlineLevel="0" collapsed="false">
      <c r="B171" s="0" t="s">
        <v>95</v>
      </c>
    </row>
    <row r="172" customFormat="false" ht="15" hidden="false" customHeight="false" outlineLevel="0" collapsed="false">
      <c r="B172" s="12" t="s">
        <v>96</v>
      </c>
    </row>
    <row r="173" customFormat="false" ht="15" hidden="false" customHeight="false" outlineLevel="0" collapsed="false">
      <c r="B173" s="0" t="s">
        <v>97</v>
      </c>
    </row>
    <row r="174" customFormat="false" ht="15" hidden="false" customHeight="false" outlineLevel="0" collapsed="false">
      <c r="B174" s="12" t="s">
        <v>98</v>
      </c>
    </row>
    <row r="175" customFormat="false" ht="15" hidden="false" customHeight="false" outlineLevel="0" collapsed="false">
      <c r="B175" s="0" t="s">
        <v>99</v>
      </c>
    </row>
    <row r="176" customFormat="false" ht="15" hidden="false" customHeight="false" outlineLevel="0" collapsed="false">
      <c r="B176" s="12" t="s">
        <v>100</v>
      </c>
    </row>
    <row r="177" customFormat="false" ht="15" hidden="false" customHeight="false" outlineLevel="0" collapsed="false">
      <c r="B177" s="0" t="s">
        <v>101</v>
      </c>
    </row>
    <row r="178" customFormat="false" ht="15" hidden="false" customHeight="false" outlineLevel="0" collapsed="false">
      <c r="B178" s="12" t="s">
        <v>102</v>
      </c>
    </row>
    <row r="179" customFormat="false" ht="15" hidden="false" customHeight="false" outlineLevel="0" collapsed="false">
      <c r="B179" s="0" t="s">
        <v>103</v>
      </c>
    </row>
    <row r="180" customFormat="false" ht="15" hidden="false" customHeight="false" outlineLevel="0" collapsed="false">
      <c r="B180" s="12" t="s">
        <v>104</v>
      </c>
    </row>
    <row r="181" customFormat="false" ht="15" hidden="false" customHeight="false" outlineLevel="0" collapsed="false">
      <c r="B18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46174</v>
      </c>
    </row>
    <row r="28" customFormat="false" ht="15" hidden="false" customHeight="false" outlineLevel="0" collapsed="false">
      <c r="B28" s="0" t="s">
        <v>14</v>
      </c>
      <c r="J28" s="8" t="n">
        <v>40059080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0.0454</v>
      </c>
    </row>
    <row r="33" customFormat="false" ht="15" hidden="false" customHeight="false" outlineLevel="0" collapsed="false">
      <c r="B33" s="0" t="s">
        <v>18</v>
      </c>
      <c r="F33" s="9" t="n">
        <v>0.0417</v>
      </c>
    </row>
    <row r="35" customFormat="false" ht="15" hidden="false" customHeight="false" outlineLevel="0" collapsed="false">
      <c r="B35" s="0" t="s">
        <v>19</v>
      </c>
      <c r="F35" s="9" t="n">
        <v>0.7407</v>
      </c>
    </row>
    <row r="37" customFormat="false" ht="15" hidden="false" customHeight="false" outlineLevel="0" collapsed="false">
      <c r="B37" s="0" t="s">
        <v>20</v>
      </c>
      <c r="F37" s="9" t="n">
        <v>0.6934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27776966.072</v>
      </c>
    </row>
    <row r="41" customFormat="false" ht="15" hidden="false" customHeight="false" outlineLevel="0" collapsed="false">
      <c r="B41" s="0" t="s">
        <v>22</v>
      </c>
      <c r="F41" s="10" t="n">
        <f aca="false">E74</f>
        <v>90000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503627.22</v>
      </c>
    </row>
    <row r="49" customFormat="false" ht="15" hidden="false" customHeight="false" outlineLevel="0" collapsed="false">
      <c r="B49" s="0" t="s">
        <v>26</v>
      </c>
      <c r="F49" s="10" t="n">
        <f aca="false">E102</f>
        <v>356700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142000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375210.61</v>
      </c>
    </row>
    <row r="55" customFormat="false" ht="15" hidden="false" customHeight="false" outlineLevel="0" collapsed="false">
      <c r="B55" s="0" t="s">
        <v>29</v>
      </c>
      <c r="F55" s="8" t="n">
        <v>27768473.81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27768473.81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119</v>
      </c>
      <c r="E64" s="14" t="n">
        <v>90000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90000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39</v>
      </c>
      <c r="J78" s="14" t="n">
        <v>129717.12</v>
      </c>
    </row>
    <row r="79" customFormat="false" ht="15" hidden="false" customHeight="false" outlineLevel="0" collapsed="false">
      <c r="G79" s="0" t="s">
        <v>124</v>
      </c>
      <c r="J79" s="14" t="n">
        <v>105686.24</v>
      </c>
    </row>
    <row r="80" customFormat="false" ht="15" hidden="false" customHeight="false" outlineLevel="0" collapsed="false">
      <c r="G80" s="0" t="s">
        <v>40</v>
      </c>
      <c r="J80" s="14" t="n">
        <v>96103.37</v>
      </c>
    </row>
    <row r="81" customFormat="false" ht="15" hidden="false" customHeight="false" outlineLevel="0" collapsed="false">
      <c r="G81" s="0" t="s">
        <v>125</v>
      </c>
      <c r="J81" s="14" t="n">
        <v>75096.26</v>
      </c>
    </row>
    <row r="82" customFormat="false" ht="15" hidden="false" customHeight="false" outlineLevel="0" collapsed="false">
      <c r="G82" s="0" t="s">
        <v>126</v>
      </c>
      <c r="J82" s="14" t="n">
        <v>97024.23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503627.22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  <c r="G92" s="15" t="s">
        <v>132</v>
      </c>
      <c r="J92" s="14" t="n">
        <v>17868.55</v>
      </c>
    </row>
    <row r="93" customFormat="false" ht="15" hidden="false" customHeight="false" outlineLevel="0" collapsed="false">
      <c r="B93" s="0" t="s">
        <v>44</v>
      </c>
      <c r="E93" s="14" t="n">
        <v>38500</v>
      </c>
      <c r="G93" s="15" t="s">
        <v>133</v>
      </c>
      <c r="J93" s="14" t="n">
        <v>14348.71</v>
      </c>
    </row>
    <row r="94" customFormat="false" ht="15" hidden="false" customHeight="false" outlineLevel="0" collapsed="false">
      <c r="B94" s="0" t="s">
        <v>45</v>
      </c>
      <c r="E94" s="14" t="n">
        <v>64000</v>
      </c>
      <c r="G94" s="15" t="s">
        <v>134</v>
      </c>
      <c r="J94" s="14" t="n">
        <v>29981.36</v>
      </c>
    </row>
    <row r="95" customFormat="false" ht="15" hidden="false" customHeight="false" outlineLevel="0" collapsed="false">
      <c r="B95" s="0" t="s">
        <v>46</v>
      </c>
      <c r="E95" s="14" t="n">
        <v>6400</v>
      </c>
      <c r="G95" s="15" t="s">
        <v>135</v>
      </c>
      <c r="J95" s="14" t="n">
        <v>23912.25</v>
      </c>
    </row>
    <row r="96" customFormat="false" ht="15" hidden="false" customHeight="false" outlineLevel="0" collapsed="false">
      <c r="B96" s="0" t="s">
        <v>47</v>
      </c>
      <c r="E96" s="14" t="n">
        <v>52000</v>
      </c>
      <c r="G96" s="15" t="s">
        <v>136</v>
      </c>
      <c r="J96" s="14" t="n">
        <v>31469.74</v>
      </c>
    </row>
    <row r="97" customFormat="false" ht="15" hidden="false" customHeight="false" outlineLevel="0" collapsed="false">
      <c r="B97" s="0" t="s">
        <v>48</v>
      </c>
      <c r="E97" s="14" t="n">
        <v>186000</v>
      </c>
      <c r="G97" s="15" t="s">
        <v>145</v>
      </c>
      <c r="J97" s="14" t="n">
        <v>24419.39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356700</v>
      </c>
      <c r="G102" s="12" t="s">
        <v>34</v>
      </c>
      <c r="J102" s="13" t="n">
        <f aca="false">SUM(J92:J101)</f>
        <v>142000</v>
      </c>
    </row>
    <row r="105" customFormat="false" ht="15" hidden="false" customHeight="false" outlineLevel="0" collapsed="false">
      <c r="B105" s="11" t="s">
        <v>49</v>
      </c>
      <c r="G105" s="11" t="s">
        <v>50</v>
      </c>
    </row>
    <row r="106" customFormat="false" ht="15" hidden="false" customHeight="false" outlineLevel="0" collapsed="false">
      <c r="B106" s="0" t="s">
        <v>150</v>
      </c>
      <c r="E106" s="14" t="n">
        <v>105405.78</v>
      </c>
    </row>
    <row r="107" customFormat="false" ht="15" hidden="false" customHeight="false" outlineLevel="0" collapsed="false">
      <c r="B107" s="0" t="s">
        <v>151</v>
      </c>
      <c r="E107" s="14" t="n">
        <v>96183.75</v>
      </c>
    </row>
    <row r="108" customFormat="false" ht="15" hidden="false" customHeight="false" outlineLevel="0" collapsed="false">
      <c r="B108" s="0" t="s">
        <v>152</v>
      </c>
      <c r="E108" s="14" t="n">
        <v>89972.63</v>
      </c>
    </row>
    <row r="109" customFormat="false" ht="15" hidden="false" customHeight="false" outlineLevel="0" collapsed="false">
      <c r="B109" s="0" t="s">
        <v>153</v>
      </c>
      <c r="E109" s="14" t="n">
        <v>83648.45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375210.61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55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56</v>
      </c>
    </row>
    <row r="135" customFormat="false" ht="15" hidden="false" customHeight="false" outlineLevel="0" collapsed="false">
      <c r="G135" s="12" t="s">
        <v>57</v>
      </c>
    </row>
    <row r="136" customFormat="false" ht="15" hidden="false" customHeight="false" outlineLevel="0" collapsed="false">
      <c r="C136" s="0" t="s">
        <v>58</v>
      </c>
      <c r="D136" s="4" t="str">
        <f aca="false">D24</f>
        <v>PONTA NEGRA</v>
      </c>
      <c r="G136" s="15" t="s">
        <v>59</v>
      </c>
      <c r="J136" s="8" t="n">
        <v>1478842.01</v>
      </c>
    </row>
    <row r="137" customFormat="false" ht="15" hidden="false" customHeight="false" outlineLevel="0" collapsed="false">
      <c r="C137" s="0" t="s">
        <v>60</v>
      </c>
      <c r="D137" s="10" t="n">
        <f aca="false">J28</f>
        <v>40059080</v>
      </c>
      <c r="G137" s="15" t="s">
        <v>61</v>
      </c>
      <c r="J137" s="8" t="n">
        <v>1586721.29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62</v>
      </c>
      <c r="J138" s="10" t="n">
        <f aca="false">J137-J136</f>
        <v>107879.28</v>
      </c>
    </row>
    <row r="139" customFormat="false" ht="15" hidden="false" customHeight="false" outlineLevel="0" collapsed="false">
      <c r="C139" s="0" t="s">
        <v>63</v>
      </c>
      <c r="D139" s="16" t="n">
        <f aca="false">E26</f>
        <v>46174</v>
      </c>
      <c r="G139" s="15" t="s">
        <v>64</v>
      </c>
    </row>
    <row r="140" customFormat="false" ht="15" hidden="false" customHeight="false" outlineLevel="0" collapsed="false">
      <c r="C140" s="0" t="s">
        <v>65</v>
      </c>
      <c r="D140" s="17" t="n">
        <f aca="false">F31</f>
        <v>0.0454</v>
      </c>
    </row>
    <row r="141" customFormat="false" ht="15" hidden="false" customHeight="false" outlineLevel="0" collapsed="false">
      <c r="C141" s="0" t="s">
        <v>66</v>
      </c>
      <c r="D141" s="17" t="n">
        <f aca="false">F33</f>
        <v>0.0417</v>
      </c>
    </row>
    <row r="142" customFormat="false" ht="15" hidden="false" customHeight="false" outlineLevel="0" collapsed="false">
      <c r="C142" s="0" t="s">
        <v>67</v>
      </c>
      <c r="D142" s="17" t="n">
        <f aca="false">F35</f>
        <v>0.7407</v>
      </c>
    </row>
    <row r="143" customFormat="false" ht="15" hidden="false" customHeight="false" outlineLevel="0" collapsed="false">
      <c r="C143" s="0" t="s">
        <v>68</v>
      </c>
      <c r="D143" s="17" t="n">
        <f aca="false">F37</f>
        <v>0.6934</v>
      </c>
    </row>
    <row r="145" customFormat="false" ht="15" hidden="false" customHeight="false" outlineLevel="0" collapsed="false">
      <c r="B145" s="0" t="s">
        <v>69</v>
      </c>
      <c r="C145" s="0" t="s">
        <v>70</v>
      </c>
      <c r="D145" s="10" t="n">
        <f aca="false">F39</f>
        <v>27776966.072</v>
      </c>
      <c r="E145" s="18" t="n">
        <f aca="false">D145/$D$137</f>
        <v>0.6934</v>
      </c>
    </row>
    <row r="146" customFormat="false" ht="15" hidden="false" customHeight="false" outlineLevel="0" collapsed="false">
      <c r="B146" s="0" t="s">
        <v>71</v>
      </c>
      <c r="C146" s="0" t="s">
        <v>32</v>
      </c>
      <c r="D146" s="10" t="n">
        <f aca="false">F41</f>
        <v>90000</v>
      </c>
      <c r="E146" s="18" t="n">
        <f aca="false">D146/$D$137</f>
        <v>0.00224668165120118</v>
      </c>
    </row>
    <row r="147" customFormat="false" ht="15" hidden="false" customHeight="false" outlineLevel="0" collapsed="false">
      <c r="B147" s="0" t="s">
        <v>72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73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74</v>
      </c>
      <c r="C149" s="0" t="s">
        <v>36</v>
      </c>
      <c r="D149" s="10" t="n">
        <f aca="false">F47</f>
        <v>503627.22</v>
      </c>
      <c r="E149" s="18" t="n">
        <f aca="false">D149/$D$137</f>
        <v>0.0125721114913273</v>
      </c>
    </row>
    <row r="150" customFormat="false" ht="15" hidden="false" customHeight="false" outlineLevel="0" collapsed="false">
      <c r="B150" s="0" t="s">
        <v>75</v>
      </c>
      <c r="C150" s="0" t="s">
        <v>76</v>
      </c>
      <c r="D150" s="10" t="n">
        <f aca="false">F49</f>
        <v>356700</v>
      </c>
      <c r="E150" s="18" t="n">
        <f aca="false">D150/$D$137</f>
        <v>0.00890434827759399</v>
      </c>
    </row>
    <row r="151" customFormat="false" ht="15" hidden="false" customHeight="false" outlineLevel="0" collapsed="false">
      <c r="B151" s="0" t="s">
        <v>77</v>
      </c>
      <c r="C151" s="0" t="s">
        <v>78</v>
      </c>
      <c r="D151" s="10" t="n">
        <f aca="false">F51</f>
        <v>142000</v>
      </c>
      <c r="E151" s="18" t="n">
        <f aca="false">D151/$D$137</f>
        <v>0.0035447643830063</v>
      </c>
    </row>
    <row r="152" customFormat="false" ht="15" hidden="false" customHeight="false" outlineLevel="0" collapsed="false">
      <c r="B152" s="0" t="s">
        <v>79</v>
      </c>
      <c r="C152" s="0" t="s">
        <v>49</v>
      </c>
      <c r="D152" s="10" t="n">
        <f aca="false">F53</f>
        <v>375210.61</v>
      </c>
      <c r="E152" s="18" t="n">
        <f aca="false">D152/$D$137</f>
        <v>0.00936643103136667</v>
      </c>
    </row>
    <row r="153" customFormat="false" ht="15" hidden="false" customHeight="false" outlineLevel="0" collapsed="false">
      <c r="B153" s="0" t="s">
        <v>80</v>
      </c>
      <c r="C153" s="0" t="s">
        <v>81</v>
      </c>
      <c r="D153" s="10" t="n">
        <f aca="false">F56</f>
        <v>27768473.81</v>
      </c>
      <c r="E153" s="18" t="n">
        <f aca="false">D153/$D$137</f>
        <v>0.693188006564305</v>
      </c>
    </row>
    <row r="154" customFormat="false" ht="15" hidden="false" customHeight="false" outlineLevel="0" collapsed="false">
      <c r="B154" s="0" t="s">
        <v>82</v>
      </c>
      <c r="C154" s="0" t="s">
        <v>55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83</v>
      </c>
      <c r="D155" s="13" t="n">
        <f aca="false">D145+D146+D147+D148+D149+D150+D151-D152-D153-D154</f>
        <v>725608.872000001</v>
      </c>
      <c r="E155" s="19" t="n">
        <f aca="false">D155/D137</f>
        <v>0.0181134682074576</v>
      </c>
    </row>
    <row r="156" customFormat="false" ht="15" hidden="false" customHeight="false" outlineLevel="0" collapsed="false">
      <c r="C156" s="0" t="s">
        <v>84</v>
      </c>
      <c r="D156" s="10" t="n">
        <f aca="false">MAI26!D155</f>
        <v>710492.411999997</v>
      </c>
      <c r="E156" s="17" t="n">
        <f aca="false">MAI26!E155</f>
        <v>0.0178081841824539</v>
      </c>
    </row>
    <row r="160" customFormat="false" ht="15" hidden="false" customHeight="false" outlineLevel="0" collapsed="false">
      <c r="B160" s="12" t="s">
        <v>85</v>
      </c>
    </row>
    <row r="162" customFormat="false" ht="15" hidden="false" customHeight="false" outlineLevel="0" collapsed="false">
      <c r="B162" s="12" t="s">
        <v>86</v>
      </c>
    </row>
    <row r="163" customFormat="false" ht="15" hidden="false" customHeight="false" outlineLevel="0" collapsed="false">
      <c r="B163" s="0" t="s">
        <v>87</v>
      </c>
    </row>
    <row r="164" customFormat="false" ht="15" hidden="false" customHeight="false" outlineLevel="0" collapsed="false">
      <c r="B164" s="12" t="s">
        <v>88</v>
      </c>
    </row>
    <row r="165" customFormat="false" ht="15" hidden="false" customHeight="false" outlineLevel="0" collapsed="false">
      <c r="B165" s="0" t="s">
        <v>89</v>
      </c>
    </row>
    <row r="166" customFormat="false" ht="15" hidden="false" customHeight="false" outlineLevel="0" collapsed="false">
      <c r="B166" s="12" t="s">
        <v>90</v>
      </c>
    </row>
    <row r="167" customFormat="false" ht="15" hidden="false" customHeight="false" outlineLevel="0" collapsed="false">
      <c r="B167" s="0" t="s">
        <v>91</v>
      </c>
    </row>
    <row r="168" customFormat="false" ht="15" hidden="false" customHeight="false" outlineLevel="0" collapsed="false">
      <c r="B168" s="12" t="s">
        <v>92</v>
      </c>
    </row>
    <row r="169" customFormat="false" ht="15" hidden="false" customHeight="false" outlineLevel="0" collapsed="false">
      <c r="B169" s="0" t="s">
        <v>93</v>
      </c>
    </row>
    <row r="170" customFormat="false" ht="15" hidden="false" customHeight="false" outlineLevel="0" collapsed="false">
      <c r="B170" s="12" t="s">
        <v>94</v>
      </c>
    </row>
    <row r="171" customFormat="false" ht="15" hidden="false" customHeight="false" outlineLevel="0" collapsed="false">
      <c r="B171" s="0" t="s">
        <v>95</v>
      </c>
    </row>
    <row r="172" customFormat="false" ht="15" hidden="false" customHeight="false" outlineLevel="0" collapsed="false">
      <c r="B172" s="12" t="s">
        <v>96</v>
      </c>
    </row>
    <row r="173" customFormat="false" ht="15" hidden="false" customHeight="false" outlineLevel="0" collapsed="false">
      <c r="B173" s="0" t="s">
        <v>97</v>
      </c>
    </row>
    <row r="174" customFormat="false" ht="15" hidden="false" customHeight="false" outlineLevel="0" collapsed="false">
      <c r="B174" s="12" t="s">
        <v>98</v>
      </c>
    </row>
    <row r="175" customFormat="false" ht="15" hidden="false" customHeight="false" outlineLevel="0" collapsed="false">
      <c r="B175" s="0" t="s">
        <v>99</v>
      </c>
    </row>
    <row r="176" customFormat="false" ht="15" hidden="false" customHeight="false" outlineLevel="0" collapsed="false">
      <c r="B176" s="12" t="s">
        <v>100</v>
      </c>
    </row>
    <row r="177" customFormat="false" ht="15" hidden="false" customHeight="false" outlineLevel="0" collapsed="false">
      <c r="B177" s="0" t="s">
        <v>101</v>
      </c>
    </row>
    <row r="178" customFormat="false" ht="15" hidden="false" customHeight="false" outlineLevel="0" collapsed="false">
      <c r="B178" s="12" t="s">
        <v>102</v>
      </c>
    </row>
    <row r="179" customFormat="false" ht="15" hidden="false" customHeight="false" outlineLevel="0" collapsed="false">
      <c r="B179" s="0" t="s">
        <v>103</v>
      </c>
    </row>
    <row r="180" customFormat="false" ht="15" hidden="false" customHeight="false" outlineLevel="0" collapsed="false">
      <c r="B180" s="12" t="s">
        <v>104</v>
      </c>
    </row>
    <row r="181" customFormat="false" ht="15" hidden="false" customHeight="false" outlineLevel="0" collapsed="false">
      <c r="B18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46204</v>
      </c>
    </row>
    <row r="28" customFormat="false" ht="15" hidden="false" customHeight="false" outlineLevel="0" collapsed="false">
      <c r="B28" s="0" t="s">
        <v>14</v>
      </c>
      <c r="J28" s="8" t="n">
        <v>40221200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0.0433</v>
      </c>
    </row>
    <row r="33" customFormat="false" ht="15" hidden="false" customHeight="false" outlineLevel="0" collapsed="false">
      <c r="B33" s="0" t="s">
        <v>18</v>
      </c>
      <c r="F33" s="9" t="n">
        <v>0.0411</v>
      </c>
    </row>
    <row r="35" customFormat="false" ht="15" hidden="false" customHeight="false" outlineLevel="0" collapsed="false">
      <c r="B35" s="0" t="s">
        <v>19</v>
      </c>
      <c r="F35" s="9" t="n">
        <v>0.784</v>
      </c>
    </row>
    <row r="37" customFormat="false" ht="15" hidden="false" customHeight="false" outlineLevel="0" collapsed="false">
      <c r="B37" s="0" t="s">
        <v>20</v>
      </c>
      <c r="F37" s="9" t="n">
        <v>0.7345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29542471.4</v>
      </c>
    </row>
    <row r="41" customFormat="false" ht="15" hidden="false" customHeight="false" outlineLevel="0" collapsed="false">
      <c r="B41" s="0" t="s">
        <v>22</v>
      </c>
      <c r="F41" s="10" t="n">
        <f aca="false">E74</f>
        <v>80000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392600.24</v>
      </c>
    </row>
    <row r="49" customFormat="false" ht="15" hidden="false" customHeight="false" outlineLevel="0" collapsed="false">
      <c r="B49" s="0" t="s">
        <v>26</v>
      </c>
      <c r="F49" s="10" t="n">
        <f aca="false">E102</f>
        <v>356700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168000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416459.45</v>
      </c>
    </row>
    <row r="55" customFormat="false" ht="15" hidden="false" customHeight="false" outlineLevel="0" collapsed="false">
      <c r="B55" s="0" t="s">
        <v>29</v>
      </c>
      <c r="F55" s="8" t="n">
        <v>29381706.15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29381706.15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119</v>
      </c>
      <c r="E64" s="14" t="n">
        <v>80000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80000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39</v>
      </c>
      <c r="J78" s="14" t="n">
        <v>102086.79</v>
      </c>
    </row>
    <row r="79" customFormat="false" ht="15" hidden="false" customHeight="false" outlineLevel="0" collapsed="false">
      <c r="G79" s="0" t="s">
        <v>124</v>
      </c>
      <c r="J79" s="14" t="n">
        <v>65113.63</v>
      </c>
    </row>
    <row r="80" customFormat="false" ht="15" hidden="false" customHeight="false" outlineLevel="0" collapsed="false">
      <c r="G80" s="0" t="s">
        <v>40</v>
      </c>
      <c r="J80" s="14" t="n">
        <v>65865.1</v>
      </c>
    </row>
    <row r="81" customFormat="false" ht="15" hidden="false" customHeight="false" outlineLevel="0" collapsed="false">
      <c r="G81" s="0" t="s">
        <v>125</v>
      </c>
      <c r="J81" s="14" t="n">
        <v>53401.39</v>
      </c>
    </row>
    <row r="82" customFormat="false" ht="15" hidden="false" customHeight="false" outlineLevel="0" collapsed="false">
      <c r="G82" s="0" t="s">
        <v>126</v>
      </c>
      <c r="J82" s="14" t="n">
        <v>106133.33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392600.24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  <c r="G92" s="15" t="s">
        <v>132</v>
      </c>
      <c r="J92" s="14" t="n">
        <v>18426.76</v>
      </c>
    </row>
    <row r="93" customFormat="false" ht="15" hidden="false" customHeight="false" outlineLevel="0" collapsed="false">
      <c r="B93" s="0" t="s">
        <v>44</v>
      </c>
      <c r="E93" s="14" t="n">
        <v>38500</v>
      </c>
      <c r="G93" s="15" t="s">
        <v>133</v>
      </c>
      <c r="J93" s="14" t="n">
        <v>14796.96</v>
      </c>
    </row>
    <row r="94" customFormat="false" ht="15" hidden="false" customHeight="false" outlineLevel="0" collapsed="false">
      <c r="B94" s="0" t="s">
        <v>45</v>
      </c>
      <c r="E94" s="14" t="n">
        <v>64000</v>
      </c>
      <c r="G94" s="15" t="s">
        <v>134</v>
      </c>
      <c r="J94" s="14" t="n">
        <v>30917.98</v>
      </c>
    </row>
    <row r="95" customFormat="false" ht="15" hidden="false" customHeight="false" outlineLevel="0" collapsed="false">
      <c r="B95" s="0" t="s">
        <v>46</v>
      </c>
      <c r="E95" s="14" t="n">
        <v>6400</v>
      </c>
      <c r="G95" s="15" t="s">
        <v>135</v>
      </c>
      <c r="J95" s="14" t="n">
        <v>24659.26</v>
      </c>
    </row>
    <row r="96" customFormat="false" ht="15" hidden="false" customHeight="false" outlineLevel="0" collapsed="false">
      <c r="B96" s="0" t="s">
        <v>47</v>
      </c>
      <c r="E96" s="14" t="n">
        <v>52000</v>
      </c>
      <c r="G96" s="15" t="s">
        <v>136</v>
      </c>
      <c r="J96" s="14" t="n">
        <v>32452.85</v>
      </c>
    </row>
    <row r="97" customFormat="false" ht="15" hidden="false" customHeight="false" outlineLevel="0" collapsed="false">
      <c r="B97" s="0" t="s">
        <v>48</v>
      </c>
      <c r="E97" s="14" t="n">
        <v>186000</v>
      </c>
      <c r="G97" s="15" t="s">
        <v>145</v>
      </c>
      <c r="J97" s="14" t="n">
        <v>25182.25</v>
      </c>
    </row>
    <row r="98" customFormat="false" ht="15" hidden="false" customHeight="false" outlineLevel="0" collapsed="false">
      <c r="G98" s="0" t="s">
        <v>154</v>
      </c>
      <c r="J98" s="14" t="n">
        <v>21563.94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356700</v>
      </c>
      <c r="G102" s="12" t="s">
        <v>34</v>
      </c>
      <c r="J102" s="13" t="n">
        <f aca="false">SUM(J92:J101)</f>
        <v>168000</v>
      </c>
    </row>
    <row r="105" customFormat="false" ht="15" hidden="false" customHeight="false" outlineLevel="0" collapsed="false">
      <c r="B105" s="11" t="s">
        <v>49</v>
      </c>
      <c r="G105" s="11" t="s">
        <v>50</v>
      </c>
    </row>
    <row r="106" customFormat="false" ht="15" hidden="false" customHeight="false" outlineLevel="0" collapsed="false">
      <c r="B106" s="0" t="s">
        <v>155</v>
      </c>
      <c r="E106" s="14" t="n">
        <v>84694.38</v>
      </c>
    </row>
    <row r="107" customFormat="false" ht="15" hidden="false" customHeight="false" outlineLevel="0" collapsed="false">
      <c r="B107" s="0" t="s">
        <v>156</v>
      </c>
      <c r="E107" s="14" t="n">
        <v>95181.14</v>
      </c>
    </row>
    <row r="108" customFormat="false" ht="15" hidden="false" customHeight="false" outlineLevel="0" collapsed="false">
      <c r="B108" s="0" t="s">
        <v>157</v>
      </c>
      <c r="E108" s="14" t="n">
        <v>100858.44</v>
      </c>
    </row>
    <row r="109" customFormat="false" ht="15" hidden="false" customHeight="false" outlineLevel="0" collapsed="false">
      <c r="B109" s="0" t="s">
        <v>158</v>
      </c>
      <c r="E109" s="14" t="n">
        <v>135725.49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416459.45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55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56</v>
      </c>
    </row>
    <row r="135" customFormat="false" ht="15" hidden="false" customHeight="false" outlineLevel="0" collapsed="false">
      <c r="G135" s="12" t="s">
        <v>57</v>
      </c>
    </row>
    <row r="136" customFormat="false" ht="15" hidden="false" customHeight="false" outlineLevel="0" collapsed="false">
      <c r="C136" s="0" t="s">
        <v>58</v>
      </c>
      <c r="D136" s="4" t="str">
        <f aca="false">D24</f>
        <v>PONTA NEGRA</v>
      </c>
      <c r="G136" s="15" t="s">
        <v>59</v>
      </c>
      <c r="J136" s="8" t="n">
        <v>1515242.3</v>
      </c>
    </row>
    <row r="137" customFormat="false" ht="15" hidden="false" customHeight="false" outlineLevel="0" collapsed="false">
      <c r="C137" s="0" t="s">
        <v>60</v>
      </c>
      <c r="D137" s="10" t="n">
        <f aca="false">J28</f>
        <v>40221200</v>
      </c>
      <c r="G137" s="15" t="s">
        <v>61</v>
      </c>
      <c r="J137" s="8" t="n">
        <v>1613232.34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62</v>
      </c>
      <c r="J138" s="10" t="n">
        <f aca="false">J137-J136</f>
        <v>97990.04</v>
      </c>
    </row>
    <row r="139" customFormat="false" ht="15" hidden="false" customHeight="false" outlineLevel="0" collapsed="false">
      <c r="C139" s="0" t="s">
        <v>63</v>
      </c>
      <c r="D139" s="16" t="n">
        <f aca="false">E26</f>
        <v>46204</v>
      </c>
      <c r="G139" s="15" t="s">
        <v>64</v>
      </c>
    </row>
    <row r="140" customFormat="false" ht="15" hidden="false" customHeight="false" outlineLevel="0" collapsed="false">
      <c r="C140" s="0" t="s">
        <v>65</v>
      </c>
      <c r="D140" s="17" t="n">
        <f aca="false">F31</f>
        <v>0.0433</v>
      </c>
    </row>
    <row r="141" customFormat="false" ht="15" hidden="false" customHeight="false" outlineLevel="0" collapsed="false">
      <c r="C141" s="0" t="s">
        <v>66</v>
      </c>
      <c r="D141" s="17" t="n">
        <f aca="false">F33</f>
        <v>0.0411</v>
      </c>
    </row>
    <row r="142" customFormat="false" ht="15" hidden="false" customHeight="false" outlineLevel="0" collapsed="false">
      <c r="C142" s="0" t="s">
        <v>67</v>
      </c>
      <c r="D142" s="17" t="n">
        <f aca="false">F35</f>
        <v>0.784</v>
      </c>
    </row>
    <row r="143" customFormat="false" ht="15" hidden="false" customHeight="false" outlineLevel="0" collapsed="false">
      <c r="C143" s="0" t="s">
        <v>68</v>
      </c>
      <c r="D143" s="17" t="n">
        <f aca="false">F37</f>
        <v>0.7345</v>
      </c>
    </row>
    <row r="145" customFormat="false" ht="15" hidden="false" customHeight="false" outlineLevel="0" collapsed="false">
      <c r="B145" s="0" t="s">
        <v>69</v>
      </c>
      <c r="C145" s="0" t="s">
        <v>70</v>
      </c>
      <c r="D145" s="10" t="n">
        <f aca="false">F39</f>
        <v>29542471.4</v>
      </c>
      <c r="E145" s="18" t="n">
        <f aca="false">D145/$D$137</f>
        <v>0.7345</v>
      </c>
    </row>
    <row r="146" customFormat="false" ht="15" hidden="false" customHeight="false" outlineLevel="0" collapsed="false">
      <c r="B146" s="0" t="s">
        <v>71</v>
      </c>
      <c r="C146" s="0" t="s">
        <v>32</v>
      </c>
      <c r="D146" s="10" t="n">
        <f aca="false">F41</f>
        <v>80000</v>
      </c>
      <c r="E146" s="18" t="n">
        <f aca="false">D146/$D$137</f>
        <v>0.00198900082543534</v>
      </c>
    </row>
    <row r="147" customFormat="false" ht="15" hidden="false" customHeight="false" outlineLevel="0" collapsed="false">
      <c r="B147" s="0" t="s">
        <v>72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73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74</v>
      </c>
      <c r="C149" s="0" t="s">
        <v>36</v>
      </c>
      <c r="D149" s="10" t="n">
        <f aca="false">F47</f>
        <v>392600.24</v>
      </c>
      <c r="E149" s="18" t="n">
        <f aca="false">D149/$D$137</f>
        <v>0.00976102751782642</v>
      </c>
    </row>
    <row r="150" customFormat="false" ht="15" hidden="false" customHeight="false" outlineLevel="0" collapsed="false">
      <c r="B150" s="0" t="s">
        <v>75</v>
      </c>
      <c r="C150" s="0" t="s">
        <v>76</v>
      </c>
      <c r="D150" s="10" t="n">
        <f aca="false">F49</f>
        <v>356700</v>
      </c>
      <c r="E150" s="18" t="n">
        <f aca="false">D150/$D$137</f>
        <v>0.00886845743040983</v>
      </c>
    </row>
    <row r="151" customFormat="false" ht="15" hidden="false" customHeight="false" outlineLevel="0" collapsed="false">
      <c r="B151" s="0" t="s">
        <v>77</v>
      </c>
      <c r="C151" s="0" t="s">
        <v>78</v>
      </c>
      <c r="D151" s="10" t="n">
        <f aca="false">F51</f>
        <v>168000</v>
      </c>
      <c r="E151" s="18" t="n">
        <f aca="false">D151/$D$137</f>
        <v>0.00417690173341422</v>
      </c>
    </row>
    <row r="152" customFormat="false" ht="15" hidden="false" customHeight="false" outlineLevel="0" collapsed="false">
      <c r="B152" s="0" t="s">
        <v>79</v>
      </c>
      <c r="C152" s="0" t="s">
        <v>49</v>
      </c>
      <c r="D152" s="10" t="n">
        <f aca="false">F53</f>
        <v>416459.45</v>
      </c>
      <c r="E152" s="18" t="n">
        <f aca="false">D152/$D$137</f>
        <v>0.0103542273726294</v>
      </c>
    </row>
    <row r="153" customFormat="false" ht="15" hidden="false" customHeight="false" outlineLevel="0" collapsed="false">
      <c r="B153" s="0" t="s">
        <v>80</v>
      </c>
      <c r="C153" s="0" t="s">
        <v>81</v>
      </c>
      <c r="D153" s="10" t="n">
        <f aca="false">F56</f>
        <v>29381706.15</v>
      </c>
      <c r="E153" s="18" t="n">
        <f aca="false">D153/$D$137</f>
        <v>0.730502972313109</v>
      </c>
    </row>
    <row r="154" customFormat="false" ht="15" hidden="false" customHeight="false" outlineLevel="0" collapsed="false">
      <c r="B154" s="0" t="s">
        <v>82</v>
      </c>
      <c r="C154" s="0" t="s">
        <v>55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83</v>
      </c>
      <c r="D155" s="13" t="n">
        <f aca="false">D145+D146+D147+D148+D149+D150+D151-D152-D153-D154</f>
        <v>741606.040000003</v>
      </c>
      <c r="E155" s="19" t="n">
        <f aca="false">D155/D137</f>
        <v>0.018438187821348</v>
      </c>
    </row>
    <row r="156" customFormat="false" ht="15" hidden="false" customHeight="false" outlineLevel="0" collapsed="false">
      <c r="C156" s="0" t="s">
        <v>84</v>
      </c>
      <c r="D156" s="10" t="n">
        <f aca="false">JUN26!D155</f>
        <v>725608.872000001</v>
      </c>
      <c r="E156" s="17" t="n">
        <f aca="false">JUN26!E155</f>
        <v>0.0181134682074576</v>
      </c>
    </row>
    <row r="160" customFormat="false" ht="15" hidden="false" customHeight="false" outlineLevel="0" collapsed="false">
      <c r="B160" s="12" t="s">
        <v>85</v>
      </c>
    </row>
    <row r="162" customFormat="false" ht="15" hidden="false" customHeight="false" outlineLevel="0" collapsed="false">
      <c r="B162" s="12" t="s">
        <v>86</v>
      </c>
    </row>
    <row r="163" customFormat="false" ht="15" hidden="false" customHeight="false" outlineLevel="0" collapsed="false">
      <c r="B163" s="0" t="s">
        <v>87</v>
      </c>
    </row>
    <row r="164" customFormat="false" ht="15" hidden="false" customHeight="false" outlineLevel="0" collapsed="false">
      <c r="B164" s="12" t="s">
        <v>88</v>
      </c>
    </row>
    <row r="165" customFormat="false" ht="15" hidden="false" customHeight="false" outlineLevel="0" collapsed="false">
      <c r="B165" s="0" t="s">
        <v>89</v>
      </c>
    </row>
    <row r="166" customFormat="false" ht="15" hidden="false" customHeight="false" outlineLevel="0" collapsed="false">
      <c r="B166" s="12" t="s">
        <v>90</v>
      </c>
    </row>
    <row r="167" customFormat="false" ht="15" hidden="false" customHeight="false" outlineLevel="0" collapsed="false">
      <c r="B167" s="0" t="s">
        <v>91</v>
      </c>
    </row>
    <row r="168" customFormat="false" ht="15" hidden="false" customHeight="false" outlineLevel="0" collapsed="false">
      <c r="B168" s="12" t="s">
        <v>92</v>
      </c>
    </row>
    <row r="169" customFormat="false" ht="15" hidden="false" customHeight="false" outlineLevel="0" collapsed="false">
      <c r="B169" s="0" t="s">
        <v>93</v>
      </c>
    </row>
    <row r="170" customFormat="false" ht="15" hidden="false" customHeight="false" outlineLevel="0" collapsed="false">
      <c r="B170" s="12" t="s">
        <v>94</v>
      </c>
    </row>
    <row r="171" customFormat="false" ht="15" hidden="false" customHeight="false" outlineLevel="0" collapsed="false">
      <c r="B171" s="0" t="s">
        <v>95</v>
      </c>
    </row>
    <row r="172" customFormat="false" ht="15" hidden="false" customHeight="false" outlineLevel="0" collapsed="false">
      <c r="B172" s="12" t="s">
        <v>96</v>
      </c>
    </row>
    <row r="173" customFormat="false" ht="15" hidden="false" customHeight="false" outlineLevel="0" collapsed="false">
      <c r="B173" s="0" t="s">
        <v>97</v>
      </c>
    </row>
    <row r="174" customFormat="false" ht="15" hidden="false" customHeight="false" outlineLevel="0" collapsed="false">
      <c r="B174" s="12" t="s">
        <v>98</v>
      </c>
    </row>
    <row r="175" customFormat="false" ht="15" hidden="false" customHeight="false" outlineLevel="0" collapsed="false">
      <c r="B175" s="0" t="s">
        <v>99</v>
      </c>
    </row>
    <row r="176" customFormat="false" ht="15" hidden="false" customHeight="false" outlineLevel="0" collapsed="false">
      <c r="B176" s="12" t="s">
        <v>100</v>
      </c>
    </row>
    <row r="177" customFormat="false" ht="15" hidden="false" customHeight="false" outlineLevel="0" collapsed="false">
      <c r="B177" s="0" t="s">
        <v>101</v>
      </c>
    </row>
    <row r="178" customFormat="false" ht="15" hidden="false" customHeight="false" outlineLevel="0" collapsed="false">
      <c r="B178" s="12" t="s">
        <v>102</v>
      </c>
    </row>
    <row r="179" customFormat="false" ht="15" hidden="false" customHeight="false" outlineLevel="0" collapsed="false">
      <c r="B179" s="0" t="s">
        <v>103</v>
      </c>
    </row>
    <row r="180" customFormat="false" ht="15" hidden="false" customHeight="false" outlineLevel="0" collapsed="false">
      <c r="B180" s="12" t="s">
        <v>104</v>
      </c>
    </row>
    <row r="181" customFormat="false" ht="15" hidden="false" customHeight="false" outlineLevel="0" collapsed="false">
      <c r="B18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46235</v>
      </c>
    </row>
    <row r="28" customFormat="false" ht="15" hidden="false" customHeight="false" outlineLevel="0" collapsed="false">
      <c r="B28" s="0" t="s">
        <v>14</v>
      </c>
      <c r="J28" s="8" t="n">
        <v>40383320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0.0406</v>
      </c>
    </row>
    <row r="33" customFormat="false" ht="15" hidden="false" customHeight="false" outlineLevel="0" collapsed="false">
      <c r="B33" s="0" t="s">
        <v>18</v>
      </c>
      <c r="F33" s="9" t="n">
        <v>0.0555</v>
      </c>
    </row>
    <row r="35" customFormat="false" ht="15" hidden="false" customHeight="false" outlineLevel="0" collapsed="false">
      <c r="B35" s="0" t="s">
        <v>19</v>
      </c>
      <c r="F35" s="9" t="n">
        <v>0.8246</v>
      </c>
    </row>
    <row r="37" customFormat="false" ht="15" hidden="false" customHeight="false" outlineLevel="0" collapsed="false">
      <c r="B37" s="0" t="s">
        <v>20</v>
      </c>
      <c r="F37" s="9" t="n">
        <v>0.79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31902822.8</v>
      </c>
    </row>
    <row r="41" customFormat="false" ht="15" hidden="false" customHeight="false" outlineLevel="0" collapsed="false">
      <c r="B41" s="0" t="s">
        <v>22</v>
      </c>
      <c r="F41" s="10" t="n">
        <f aca="false">E74</f>
        <v>70000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579297.26</v>
      </c>
    </row>
    <row r="49" customFormat="false" ht="15" hidden="false" customHeight="false" outlineLevel="0" collapsed="false">
      <c r="B49" s="0" t="s">
        <v>26</v>
      </c>
      <c r="F49" s="10" t="n">
        <f aca="false">E102</f>
        <v>356700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194000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453873.02</v>
      </c>
    </row>
    <row r="55" customFormat="false" ht="15" hidden="false" customHeight="false" outlineLevel="0" collapsed="false">
      <c r="B55" s="0" t="s">
        <v>29</v>
      </c>
      <c r="F55" s="8" t="n">
        <v>31884054.57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31884054.57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119</v>
      </c>
      <c r="E64" s="14" t="n">
        <v>70000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70000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39</v>
      </c>
      <c r="J78" s="14" t="n">
        <v>120282.31</v>
      </c>
    </row>
    <row r="79" customFormat="false" ht="15" hidden="false" customHeight="false" outlineLevel="0" collapsed="false">
      <c r="G79" s="0" t="s">
        <v>124</v>
      </c>
      <c r="J79" s="14" t="n">
        <v>86228.47</v>
      </c>
    </row>
    <row r="80" customFormat="false" ht="15" hidden="false" customHeight="false" outlineLevel="0" collapsed="false">
      <c r="G80" s="0" t="s">
        <v>40</v>
      </c>
      <c r="J80" s="14" t="n">
        <v>124747.63</v>
      </c>
    </row>
    <row r="81" customFormat="false" ht="15" hidden="false" customHeight="false" outlineLevel="0" collapsed="false">
      <c r="G81" s="0" t="s">
        <v>125</v>
      </c>
      <c r="J81" s="14" t="n">
        <v>103783.23</v>
      </c>
    </row>
    <row r="82" customFormat="false" ht="15" hidden="false" customHeight="false" outlineLevel="0" collapsed="false">
      <c r="G82" s="0" t="s">
        <v>126</v>
      </c>
      <c r="J82" s="14" t="n">
        <v>144255.62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579297.26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  <c r="G92" s="15" t="s">
        <v>132</v>
      </c>
      <c r="J92" s="14" t="n">
        <v>21278.52</v>
      </c>
    </row>
    <row r="93" customFormat="false" ht="15" hidden="false" customHeight="false" outlineLevel="0" collapsed="false">
      <c r="B93" s="0" t="s">
        <v>44</v>
      </c>
      <c r="E93" s="14" t="n">
        <v>38500</v>
      </c>
      <c r="G93" s="15" t="s">
        <v>133</v>
      </c>
      <c r="J93" s="14" t="n">
        <v>17086.97</v>
      </c>
    </row>
    <row r="94" customFormat="false" ht="15" hidden="false" customHeight="false" outlineLevel="0" collapsed="false">
      <c r="B94" s="0" t="s">
        <v>45</v>
      </c>
      <c r="E94" s="14" t="n">
        <v>64000</v>
      </c>
      <c r="G94" s="15" t="s">
        <v>134</v>
      </c>
      <c r="J94" s="14" t="n">
        <v>35702.9</v>
      </c>
    </row>
    <row r="95" customFormat="false" ht="15" hidden="false" customHeight="false" outlineLevel="0" collapsed="false">
      <c r="B95" s="0" t="s">
        <v>46</v>
      </c>
      <c r="E95" s="14" t="n">
        <v>6400</v>
      </c>
      <c r="G95" s="15" t="s">
        <v>135</v>
      </c>
      <c r="J95" s="14" t="n">
        <v>28475.58</v>
      </c>
    </row>
    <row r="96" customFormat="false" ht="15" hidden="false" customHeight="false" outlineLevel="0" collapsed="false">
      <c r="B96" s="0" t="s">
        <v>47</v>
      </c>
      <c r="E96" s="14" t="n">
        <v>52000</v>
      </c>
      <c r="G96" s="15" t="s">
        <v>136</v>
      </c>
      <c r="J96" s="14" t="n">
        <v>37475.32</v>
      </c>
    </row>
    <row r="97" customFormat="false" ht="15" hidden="false" customHeight="false" outlineLevel="0" collapsed="false">
      <c r="B97" s="0" t="s">
        <v>48</v>
      </c>
      <c r="E97" s="14" t="n">
        <v>186000</v>
      </c>
      <c r="G97" s="15" t="s">
        <v>145</v>
      </c>
      <c r="J97" s="14" t="n">
        <v>29079.5</v>
      </c>
    </row>
    <row r="98" customFormat="false" ht="15" hidden="false" customHeight="false" outlineLevel="0" collapsed="false">
      <c r="G98" s="0" t="s">
        <v>154</v>
      </c>
      <c r="J98" s="14" t="n">
        <v>24901.21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356700</v>
      </c>
      <c r="G102" s="12" t="s">
        <v>34</v>
      </c>
      <c r="J102" s="13" t="n">
        <f aca="false">SUM(J92:J101)</f>
        <v>194000</v>
      </c>
    </row>
    <row r="105" customFormat="false" ht="15" hidden="false" customHeight="false" outlineLevel="0" collapsed="false">
      <c r="B105" s="11" t="s">
        <v>49</v>
      </c>
      <c r="G105" s="11" t="s">
        <v>50</v>
      </c>
    </row>
    <row r="106" customFormat="false" ht="15" hidden="false" customHeight="false" outlineLevel="0" collapsed="false">
      <c r="B106" s="0" t="s">
        <v>159</v>
      </c>
      <c r="E106" s="14" t="n">
        <v>79977.2</v>
      </c>
    </row>
    <row r="107" customFormat="false" ht="15" hidden="false" customHeight="false" outlineLevel="0" collapsed="false">
      <c r="B107" s="0" t="s">
        <v>160</v>
      </c>
      <c r="E107" s="14" t="n">
        <v>118108.49</v>
      </c>
    </row>
    <row r="108" customFormat="false" ht="15" hidden="false" customHeight="false" outlineLevel="0" collapsed="false">
      <c r="B108" s="0" t="s">
        <v>161</v>
      </c>
      <c r="E108" s="14" t="n">
        <v>133022.88</v>
      </c>
    </row>
    <row r="109" customFormat="false" ht="15" hidden="false" customHeight="false" outlineLevel="0" collapsed="false">
      <c r="B109" s="0" t="s">
        <v>162</v>
      </c>
      <c r="E109" s="14" t="n">
        <v>122764.45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453873.02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55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56</v>
      </c>
    </row>
    <row r="135" customFormat="false" ht="15" hidden="false" customHeight="false" outlineLevel="0" collapsed="false">
      <c r="G135" s="12" t="s">
        <v>57</v>
      </c>
    </row>
    <row r="136" customFormat="false" ht="15" hidden="false" customHeight="false" outlineLevel="0" collapsed="false">
      <c r="C136" s="0" t="s">
        <v>58</v>
      </c>
      <c r="D136" s="4" t="str">
        <f aca="false">D24</f>
        <v>PONTA NEGRA</v>
      </c>
      <c r="G136" s="15" t="s">
        <v>59</v>
      </c>
      <c r="J136" s="8" t="n">
        <v>2371163.85</v>
      </c>
    </row>
    <row r="137" customFormat="false" ht="15" hidden="false" customHeight="false" outlineLevel="0" collapsed="false">
      <c r="C137" s="0" t="s">
        <v>60</v>
      </c>
      <c r="D137" s="10" t="n">
        <f aca="false">J28</f>
        <v>40383320</v>
      </c>
      <c r="G137" s="15" t="s">
        <v>61</v>
      </c>
      <c r="J137" s="8" t="n">
        <v>2502348.42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62</v>
      </c>
      <c r="J138" s="10" t="n">
        <f aca="false">J137-J136</f>
        <v>131184.57</v>
      </c>
    </row>
    <row r="139" customFormat="false" ht="15" hidden="false" customHeight="false" outlineLevel="0" collapsed="false">
      <c r="C139" s="0" t="s">
        <v>63</v>
      </c>
      <c r="D139" s="16" t="n">
        <f aca="false">E26</f>
        <v>46235</v>
      </c>
      <c r="G139" s="15" t="s">
        <v>64</v>
      </c>
    </row>
    <row r="140" customFormat="false" ht="15" hidden="false" customHeight="false" outlineLevel="0" collapsed="false">
      <c r="C140" s="0" t="s">
        <v>65</v>
      </c>
      <c r="D140" s="17" t="n">
        <f aca="false">F31</f>
        <v>0.0406</v>
      </c>
    </row>
    <row r="141" customFormat="false" ht="15" hidden="false" customHeight="false" outlineLevel="0" collapsed="false">
      <c r="C141" s="0" t="s">
        <v>66</v>
      </c>
      <c r="D141" s="17" t="n">
        <f aca="false">F33</f>
        <v>0.0555</v>
      </c>
    </row>
    <row r="142" customFormat="false" ht="15" hidden="false" customHeight="false" outlineLevel="0" collapsed="false">
      <c r="C142" s="0" t="s">
        <v>67</v>
      </c>
      <c r="D142" s="17" t="n">
        <f aca="false">F35</f>
        <v>0.8246</v>
      </c>
    </row>
    <row r="143" customFormat="false" ht="15" hidden="false" customHeight="false" outlineLevel="0" collapsed="false">
      <c r="C143" s="0" t="s">
        <v>68</v>
      </c>
      <c r="D143" s="17" t="n">
        <f aca="false">F37</f>
        <v>0.79</v>
      </c>
    </row>
    <row r="145" customFormat="false" ht="15" hidden="false" customHeight="false" outlineLevel="0" collapsed="false">
      <c r="B145" s="0" t="s">
        <v>69</v>
      </c>
      <c r="C145" s="0" t="s">
        <v>70</v>
      </c>
      <c r="D145" s="10" t="n">
        <f aca="false">F39</f>
        <v>31902822.8</v>
      </c>
      <c r="E145" s="18" t="n">
        <f aca="false">D145/$D$137</f>
        <v>0.79</v>
      </c>
    </row>
    <row r="146" customFormat="false" ht="15" hidden="false" customHeight="false" outlineLevel="0" collapsed="false">
      <c r="B146" s="0" t="s">
        <v>71</v>
      </c>
      <c r="C146" s="0" t="s">
        <v>32</v>
      </c>
      <c r="D146" s="10" t="n">
        <f aca="false">F41</f>
        <v>70000</v>
      </c>
      <c r="E146" s="18" t="n">
        <f aca="false">D146/$D$137</f>
        <v>0.00173338893384694</v>
      </c>
    </row>
    <row r="147" customFormat="false" ht="15" hidden="false" customHeight="false" outlineLevel="0" collapsed="false">
      <c r="B147" s="0" t="s">
        <v>72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73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74</v>
      </c>
      <c r="C149" s="0" t="s">
        <v>36</v>
      </c>
      <c r="D149" s="10" t="n">
        <f aca="false">F47</f>
        <v>579297.26</v>
      </c>
      <c r="E149" s="18" t="n">
        <f aca="false">D149/$D$137</f>
        <v>0.0143449637127408</v>
      </c>
    </row>
    <row r="150" customFormat="false" ht="15" hidden="false" customHeight="false" outlineLevel="0" collapsed="false">
      <c r="B150" s="0" t="s">
        <v>75</v>
      </c>
      <c r="C150" s="0" t="s">
        <v>76</v>
      </c>
      <c r="D150" s="10" t="n">
        <f aca="false">F49</f>
        <v>356700</v>
      </c>
      <c r="E150" s="18" t="n">
        <f aca="false">D150/$D$137</f>
        <v>0.00883285475290293</v>
      </c>
    </row>
    <row r="151" customFormat="false" ht="15" hidden="false" customHeight="false" outlineLevel="0" collapsed="false">
      <c r="B151" s="0" t="s">
        <v>77</v>
      </c>
      <c r="C151" s="0" t="s">
        <v>78</v>
      </c>
      <c r="D151" s="10" t="n">
        <f aca="false">F51</f>
        <v>194000</v>
      </c>
      <c r="E151" s="18" t="n">
        <f aca="false">D151/$D$137</f>
        <v>0.00480396361666153</v>
      </c>
    </row>
    <row r="152" customFormat="false" ht="15" hidden="false" customHeight="false" outlineLevel="0" collapsed="false">
      <c r="B152" s="0" t="s">
        <v>79</v>
      </c>
      <c r="C152" s="0" t="s">
        <v>49</v>
      </c>
      <c r="D152" s="10" t="n">
        <f aca="false">F53</f>
        <v>453873.02</v>
      </c>
      <c r="E152" s="18" t="n">
        <f aca="false">D152/$D$137</f>
        <v>0.0112391210034242</v>
      </c>
    </row>
    <row r="153" customFormat="false" ht="15" hidden="false" customHeight="false" outlineLevel="0" collapsed="false">
      <c r="B153" s="0" t="s">
        <v>80</v>
      </c>
      <c r="C153" s="0" t="s">
        <v>81</v>
      </c>
      <c r="D153" s="10" t="n">
        <f aca="false">F56</f>
        <v>31884054.57</v>
      </c>
      <c r="E153" s="18" t="n">
        <f aca="false">D153/$D$137</f>
        <v>0.789535247968716</v>
      </c>
    </row>
    <row r="154" customFormat="false" ht="15" hidden="false" customHeight="false" outlineLevel="0" collapsed="false">
      <c r="B154" s="0" t="s">
        <v>82</v>
      </c>
      <c r="C154" s="0" t="s">
        <v>55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83</v>
      </c>
      <c r="D155" s="13" t="n">
        <f aca="false">D145+D146+D147+D148+D149+D150+D151-D152-D153-D154</f>
        <v>764892.470000003</v>
      </c>
      <c r="E155" s="19" t="n">
        <f aca="false">D155/D137</f>
        <v>0.0189408020440123</v>
      </c>
    </row>
    <row r="156" customFormat="false" ht="15" hidden="false" customHeight="false" outlineLevel="0" collapsed="false">
      <c r="C156" s="0" t="s">
        <v>84</v>
      </c>
      <c r="D156" s="10" t="n">
        <f aca="false">JUL26!D155</f>
        <v>741606.040000003</v>
      </c>
      <c r="E156" s="17" t="n">
        <f aca="false">JUL26!E155</f>
        <v>0.018438187821348</v>
      </c>
    </row>
    <row r="160" customFormat="false" ht="15" hidden="false" customHeight="false" outlineLevel="0" collapsed="false">
      <c r="B160" s="12" t="s">
        <v>85</v>
      </c>
    </row>
    <row r="162" customFormat="false" ht="15" hidden="false" customHeight="false" outlineLevel="0" collapsed="false">
      <c r="B162" s="12" t="s">
        <v>86</v>
      </c>
    </row>
    <row r="163" customFormat="false" ht="15" hidden="false" customHeight="false" outlineLevel="0" collapsed="false">
      <c r="B163" s="0" t="s">
        <v>87</v>
      </c>
    </row>
    <row r="164" customFormat="false" ht="15" hidden="false" customHeight="false" outlineLevel="0" collapsed="false">
      <c r="B164" s="12" t="s">
        <v>88</v>
      </c>
    </row>
    <row r="165" customFormat="false" ht="15" hidden="false" customHeight="false" outlineLevel="0" collapsed="false">
      <c r="B165" s="0" t="s">
        <v>89</v>
      </c>
    </row>
    <row r="166" customFormat="false" ht="15" hidden="false" customHeight="false" outlineLevel="0" collapsed="false">
      <c r="B166" s="12" t="s">
        <v>90</v>
      </c>
    </row>
    <row r="167" customFormat="false" ht="15" hidden="false" customHeight="false" outlineLevel="0" collapsed="false">
      <c r="B167" s="0" t="s">
        <v>91</v>
      </c>
    </row>
    <row r="168" customFormat="false" ht="15" hidden="false" customHeight="false" outlineLevel="0" collapsed="false">
      <c r="B168" s="12" t="s">
        <v>92</v>
      </c>
    </row>
    <row r="169" customFormat="false" ht="15" hidden="false" customHeight="false" outlineLevel="0" collapsed="false">
      <c r="B169" s="0" t="s">
        <v>93</v>
      </c>
    </row>
    <row r="170" customFormat="false" ht="15" hidden="false" customHeight="false" outlineLevel="0" collapsed="false">
      <c r="B170" s="12" t="s">
        <v>94</v>
      </c>
    </row>
    <row r="171" customFormat="false" ht="15" hidden="false" customHeight="false" outlineLevel="0" collapsed="false">
      <c r="B171" s="0" t="s">
        <v>95</v>
      </c>
    </row>
    <row r="172" customFormat="false" ht="15" hidden="false" customHeight="false" outlineLevel="0" collapsed="false">
      <c r="B172" s="12" t="s">
        <v>96</v>
      </c>
    </row>
    <row r="173" customFormat="false" ht="15" hidden="false" customHeight="false" outlineLevel="0" collapsed="false">
      <c r="B173" s="0" t="s">
        <v>97</v>
      </c>
    </row>
    <row r="174" customFormat="false" ht="15" hidden="false" customHeight="false" outlineLevel="0" collapsed="false">
      <c r="B174" s="12" t="s">
        <v>98</v>
      </c>
    </row>
    <row r="175" customFormat="false" ht="15" hidden="false" customHeight="false" outlineLevel="0" collapsed="false">
      <c r="B175" s="0" t="s">
        <v>99</v>
      </c>
    </row>
    <row r="176" customFormat="false" ht="15" hidden="false" customHeight="false" outlineLevel="0" collapsed="false">
      <c r="B176" s="12" t="s">
        <v>100</v>
      </c>
    </row>
    <row r="177" customFormat="false" ht="15" hidden="false" customHeight="false" outlineLevel="0" collapsed="false">
      <c r="B177" s="0" t="s">
        <v>101</v>
      </c>
    </row>
    <row r="178" customFormat="false" ht="15" hidden="false" customHeight="false" outlineLevel="0" collapsed="false">
      <c r="B178" s="12" t="s">
        <v>102</v>
      </c>
    </row>
    <row r="179" customFormat="false" ht="15" hidden="false" customHeight="false" outlineLevel="0" collapsed="false">
      <c r="B179" s="0" t="s">
        <v>103</v>
      </c>
    </row>
    <row r="180" customFormat="false" ht="15" hidden="false" customHeight="false" outlineLevel="0" collapsed="false">
      <c r="B180" s="12" t="s">
        <v>104</v>
      </c>
    </row>
    <row r="181" customFormat="false" ht="15" hidden="false" customHeight="false" outlineLevel="0" collapsed="false">
      <c r="B18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46266</v>
      </c>
    </row>
    <row r="28" customFormat="false" ht="15" hidden="false" customHeight="false" outlineLevel="0" collapsed="false">
      <c r="B28" s="0" t="s">
        <v>14</v>
      </c>
      <c r="J28" s="8" t="n">
        <v>40545440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0.0375</v>
      </c>
    </row>
    <row r="33" customFormat="false" ht="15" hidden="false" customHeight="false" outlineLevel="0" collapsed="false">
      <c r="B33" s="0" t="s">
        <v>18</v>
      </c>
      <c r="F33" s="9" t="n">
        <v>0.0472</v>
      </c>
    </row>
    <row r="35" customFormat="false" ht="15" hidden="false" customHeight="false" outlineLevel="0" collapsed="false">
      <c r="B35" s="0" t="s">
        <v>19</v>
      </c>
      <c r="F35" s="9" t="n">
        <v>0.8621</v>
      </c>
    </row>
    <row r="37" customFormat="false" ht="15" hidden="false" customHeight="false" outlineLevel="0" collapsed="false">
      <c r="B37" s="0" t="s">
        <v>20</v>
      </c>
      <c r="F37" s="9" t="n">
        <v>0.8372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33944642.368</v>
      </c>
    </row>
    <row r="41" customFormat="false" ht="15" hidden="false" customHeight="false" outlineLevel="0" collapsed="false">
      <c r="B41" s="0" t="s">
        <v>22</v>
      </c>
      <c r="F41" s="10" t="n">
        <f aca="false">E74</f>
        <v>60000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361807.29</v>
      </c>
    </row>
    <row r="49" customFormat="false" ht="15" hidden="false" customHeight="false" outlineLevel="0" collapsed="false">
      <c r="B49" s="0" t="s">
        <v>26</v>
      </c>
      <c r="F49" s="10" t="n">
        <f aca="false">E102</f>
        <v>356700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220000</v>
      </c>
    </row>
    <row r="53" customFormat="false" ht="15" hidden="false" customHeight="false" outlineLevel="0" collapsed="false">
      <c r="B53" s="0" t="s">
        <v>28</v>
      </c>
      <c r="F53" s="10" t="n">
        <f aca="false">E115</f>
        <v>328340.73</v>
      </c>
    </row>
    <row r="55" customFormat="false" ht="15" hidden="false" customHeight="false" outlineLevel="0" collapsed="false">
      <c r="B55" s="0" t="s">
        <v>29</v>
      </c>
      <c r="F55" s="8" t="n">
        <v>33828780.48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33828780.48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119</v>
      </c>
      <c r="E64" s="14" t="n">
        <v>60000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60000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163</v>
      </c>
      <c r="J78" s="14" t="n">
        <v>59055.68</v>
      </c>
    </row>
    <row r="79" customFormat="false" ht="15" hidden="false" customHeight="false" outlineLevel="0" collapsed="false">
      <c r="G79" s="0" t="s">
        <v>164</v>
      </c>
      <c r="J79" s="14" t="n">
        <v>37473.68</v>
      </c>
    </row>
    <row r="80" customFormat="false" ht="15" hidden="false" customHeight="false" outlineLevel="0" collapsed="false">
      <c r="G80" s="0" t="s">
        <v>165</v>
      </c>
      <c r="J80" s="14" t="n">
        <v>76500.74</v>
      </c>
    </row>
    <row r="81" customFormat="false" ht="15" hidden="false" customHeight="false" outlineLevel="0" collapsed="false">
      <c r="G81" s="0" t="s">
        <v>125</v>
      </c>
      <c r="J81" s="14" t="n">
        <v>63083.88</v>
      </c>
    </row>
    <row r="82" customFormat="false" ht="15" hidden="false" customHeight="false" outlineLevel="0" collapsed="false">
      <c r="G82" s="0" t="s">
        <v>166</v>
      </c>
      <c r="J82" s="14" t="n">
        <v>72864.5</v>
      </c>
    </row>
    <row r="83" customFormat="false" ht="15" hidden="false" customHeight="false" outlineLevel="0" collapsed="false">
      <c r="G83" s="0" t="s">
        <v>167</v>
      </c>
      <c r="J83" s="14" t="n">
        <v>52828.81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361807.29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4" t="n">
        <v>9800</v>
      </c>
      <c r="G92" s="15" t="s">
        <v>132</v>
      </c>
      <c r="J92" s="14" t="n">
        <v>21681.25</v>
      </c>
    </row>
    <row r="93" customFormat="false" ht="15" hidden="false" customHeight="false" outlineLevel="0" collapsed="false">
      <c r="B93" s="0" t="s">
        <v>44</v>
      </c>
      <c r="E93" s="14" t="n">
        <v>38500</v>
      </c>
      <c r="G93" s="15" t="s">
        <v>133</v>
      </c>
      <c r="J93" s="14" t="n">
        <v>17410.37</v>
      </c>
    </row>
    <row r="94" customFormat="false" ht="15" hidden="false" customHeight="false" outlineLevel="0" collapsed="false">
      <c r="B94" s="0" t="s">
        <v>45</v>
      </c>
      <c r="E94" s="14" t="n">
        <v>64000</v>
      </c>
      <c r="G94" s="15" t="s">
        <v>134</v>
      </c>
      <c r="J94" s="14" t="n">
        <v>36378.64</v>
      </c>
    </row>
    <row r="95" customFormat="false" ht="15" hidden="false" customHeight="false" outlineLevel="0" collapsed="false">
      <c r="B95" s="0" t="s">
        <v>46</v>
      </c>
      <c r="E95" s="14" t="n">
        <v>6400</v>
      </c>
      <c r="G95" s="15" t="s">
        <v>135</v>
      </c>
      <c r="J95" s="14" t="n">
        <v>29014.53</v>
      </c>
    </row>
    <row r="96" customFormat="false" ht="15" hidden="false" customHeight="false" outlineLevel="0" collapsed="false">
      <c r="B96" s="0" t="s">
        <v>47</v>
      </c>
      <c r="E96" s="14" t="n">
        <v>52000</v>
      </c>
      <c r="G96" s="15" t="s">
        <v>136</v>
      </c>
      <c r="J96" s="14" t="n">
        <v>38184.6</v>
      </c>
    </row>
    <row r="97" customFormat="false" ht="15" hidden="false" customHeight="false" outlineLevel="0" collapsed="false">
      <c r="B97" s="0" t="s">
        <v>48</v>
      </c>
      <c r="E97" s="14" t="n">
        <v>186000</v>
      </c>
      <c r="G97" s="15" t="s">
        <v>145</v>
      </c>
      <c r="J97" s="14" t="n">
        <v>29629.88</v>
      </c>
    </row>
    <row r="98" customFormat="false" ht="15" hidden="false" customHeight="false" outlineLevel="0" collapsed="false">
      <c r="G98" s="0" t="s">
        <v>154</v>
      </c>
      <c r="J98" s="14" t="n">
        <v>25372.51</v>
      </c>
    </row>
    <row r="99" customFormat="false" ht="15" hidden="false" customHeight="false" outlineLevel="0" collapsed="false">
      <c r="G99" s="0" t="s">
        <v>168</v>
      </c>
      <c r="J99" s="14" t="n">
        <v>22328.22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356700</v>
      </c>
      <c r="G102" s="12" t="s">
        <v>34</v>
      </c>
      <c r="J102" s="13" t="n">
        <f aca="false">SUM(J92:J101)</f>
        <v>220000</v>
      </c>
    </row>
    <row r="105" customFormat="false" ht="15" hidden="false" customHeight="false" outlineLevel="0" collapsed="false">
      <c r="B105" s="11" t="s">
        <v>49</v>
      </c>
      <c r="G105" s="11" t="s">
        <v>50</v>
      </c>
    </row>
    <row r="106" customFormat="false" ht="15" hidden="false" customHeight="false" outlineLevel="0" collapsed="false">
      <c r="B106" s="0" t="s">
        <v>169</v>
      </c>
      <c r="E106" s="14" t="n">
        <v>67131.18</v>
      </c>
    </row>
    <row r="107" customFormat="false" ht="15" hidden="false" customHeight="false" outlineLevel="0" collapsed="false">
      <c r="B107" s="0" t="s">
        <v>170</v>
      </c>
      <c r="E107" s="14" t="n">
        <v>47234.34</v>
      </c>
    </row>
    <row r="108" customFormat="false" ht="15" hidden="false" customHeight="false" outlineLevel="0" collapsed="false">
      <c r="B108" s="0" t="s">
        <v>171</v>
      </c>
      <c r="E108" s="14" t="n">
        <v>96255.52</v>
      </c>
    </row>
    <row r="109" customFormat="false" ht="15" hidden="false" customHeight="false" outlineLevel="0" collapsed="false">
      <c r="B109" s="0" t="s">
        <v>172</v>
      </c>
      <c r="E109" s="14" t="n">
        <v>69478.88</v>
      </c>
    </row>
    <row r="110" customFormat="false" ht="15" hidden="false" customHeight="false" outlineLevel="0" collapsed="false">
      <c r="B110" s="0" t="s">
        <v>173</v>
      </c>
      <c r="E110" s="14" t="n">
        <v>48240.81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328340.73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55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56</v>
      </c>
    </row>
    <row r="135" customFormat="false" ht="15" hidden="false" customHeight="false" outlineLevel="0" collapsed="false">
      <c r="G135" s="12" t="s">
        <v>57</v>
      </c>
    </row>
    <row r="136" customFormat="false" ht="15" hidden="false" customHeight="false" outlineLevel="0" collapsed="false">
      <c r="C136" s="0" t="s">
        <v>58</v>
      </c>
      <c r="D136" s="4" t="str">
        <f aca="false">D24</f>
        <v>PONTA NEGRA</v>
      </c>
      <c r="G136" s="15" t="s">
        <v>59</v>
      </c>
      <c r="J136" s="8" t="n">
        <v>1886336.28</v>
      </c>
    </row>
    <row r="137" customFormat="false" ht="15" hidden="false" customHeight="false" outlineLevel="0" collapsed="false">
      <c r="C137" s="0" t="s">
        <v>60</v>
      </c>
      <c r="D137" s="10" t="n">
        <f aca="false">J28</f>
        <v>40545440</v>
      </c>
      <c r="G137" s="15" t="s">
        <v>61</v>
      </c>
      <c r="J137" s="8" t="n">
        <v>1944725.91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62</v>
      </c>
      <c r="J138" s="10" t="n">
        <f aca="false">J137-J136</f>
        <v>58389.6299999999</v>
      </c>
    </row>
    <row r="139" customFormat="false" ht="15" hidden="false" customHeight="false" outlineLevel="0" collapsed="false">
      <c r="C139" s="0" t="s">
        <v>63</v>
      </c>
      <c r="D139" s="16" t="n">
        <f aca="false">E26</f>
        <v>46266</v>
      </c>
      <c r="G139" s="15" t="s">
        <v>64</v>
      </c>
    </row>
    <row r="140" customFormat="false" ht="15" hidden="false" customHeight="false" outlineLevel="0" collapsed="false">
      <c r="C140" s="0" t="s">
        <v>65</v>
      </c>
      <c r="D140" s="17" t="n">
        <f aca="false">F31</f>
        <v>0.0375</v>
      </c>
    </row>
    <row r="141" customFormat="false" ht="15" hidden="false" customHeight="false" outlineLevel="0" collapsed="false">
      <c r="C141" s="0" t="s">
        <v>66</v>
      </c>
      <c r="D141" s="17" t="n">
        <f aca="false">F33</f>
        <v>0.0472</v>
      </c>
    </row>
    <row r="142" customFormat="false" ht="15" hidden="false" customHeight="false" outlineLevel="0" collapsed="false">
      <c r="C142" s="0" t="s">
        <v>67</v>
      </c>
      <c r="D142" s="17" t="n">
        <f aca="false">F35</f>
        <v>0.8621</v>
      </c>
    </row>
    <row r="143" customFormat="false" ht="15" hidden="false" customHeight="false" outlineLevel="0" collapsed="false">
      <c r="C143" s="0" t="s">
        <v>68</v>
      </c>
      <c r="D143" s="17" t="n">
        <f aca="false">F37</f>
        <v>0.8372</v>
      </c>
    </row>
    <row r="145" customFormat="false" ht="15" hidden="false" customHeight="false" outlineLevel="0" collapsed="false">
      <c r="B145" s="0" t="s">
        <v>69</v>
      </c>
      <c r="C145" s="0" t="s">
        <v>70</v>
      </c>
      <c r="D145" s="10" t="n">
        <f aca="false">F39</f>
        <v>33944642.368</v>
      </c>
      <c r="E145" s="18" t="n">
        <f aca="false">D145/$D$137</f>
        <v>0.8372</v>
      </c>
    </row>
    <row r="146" customFormat="false" ht="15" hidden="false" customHeight="false" outlineLevel="0" collapsed="false">
      <c r="B146" s="0" t="s">
        <v>71</v>
      </c>
      <c r="C146" s="0" t="s">
        <v>32</v>
      </c>
      <c r="D146" s="10" t="n">
        <f aca="false">F41</f>
        <v>60000</v>
      </c>
      <c r="E146" s="18" t="n">
        <f aca="false">D146/$D$137</f>
        <v>0.00147982115868024</v>
      </c>
    </row>
    <row r="147" customFormat="false" ht="15" hidden="false" customHeight="false" outlineLevel="0" collapsed="false">
      <c r="B147" s="0" t="s">
        <v>72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73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74</v>
      </c>
      <c r="C149" s="0" t="s">
        <v>36</v>
      </c>
      <c r="D149" s="10" t="n">
        <f aca="false">F47</f>
        <v>361807.29</v>
      </c>
      <c r="E149" s="18" t="n">
        <f aca="false">D149/$D$137</f>
        <v>0.0089235013851126</v>
      </c>
    </row>
    <row r="150" customFormat="false" ht="15" hidden="false" customHeight="false" outlineLevel="0" collapsed="false">
      <c r="B150" s="0" t="s">
        <v>75</v>
      </c>
      <c r="C150" s="0" t="s">
        <v>76</v>
      </c>
      <c r="D150" s="10" t="n">
        <f aca="false">F49</f>
        <v>356700</v>
      </c>
      <c r="E150" s="18" t="n">
        <f aca="false">D150/$D$137</f>
        <v>0.00879753678835401</v>
      </c>
    </row>
    <row r="151" customFormat="false" ht="15" hidden="false" customHeight="false" outlineLevel="0" collapsed="false">
      <c r="B151" s="0" t="s">
        <v>77</v>
      </c>
      <c r="C151" s="0" t="s">
        <v>78</v>
      </c>
      <c r="D151" s="10" t="n">
        <f aca="false">F51</f>
        <v>220000</v>
      </c>
      <c r="E151" s="18" t="n">
        <f aca="false">D151/$D$137</f>
        <v>0.00542601091516087</v>
      </c>
    </row>
    <row r="152" customFormat="false" ht="15" hidden="false" customHeight="false" outlineLevel="0" collapsed="false">
      <c r="B152" s="0" t="s">
        <v>79</v>
      </c>
      <c r="C152" s="0" t="s">
        <v>49</v>
      </c>
      <c r="D152" s="10" t="n">
        <f aca="false">F53</f>
        <v>328340.73</v>
      </c>
      <c r="E152" s="18" t="n">
        <f aca="false">D152/$D$137</f>
        <v>0.00809809265850858</v>
      </c>
    </row>
    <row r="153" customFormat="false" ht="15" hidden="false" customHeight="false" outlineLevel="0" collapsed="false">
      <c r="B153" s="0" t="s">
        <v>80</v>
      </c>
      <c r="C153" s="0" t="s">
        <v>81</v>
      </c>
      <c r="D153" s="10" t="n">
        <f aca="false">F56</f>
        <v>33828780.48</v>
      </c>
      <c r="E153" s="18" t="n">
        <f aca="false">D153/$D$137</f>
        <v>0.834342418777549</v>
      </c>
    </row>
    <row r="154" customFormat="false" ht="15" hidden="false" customHeight="false" outlineLevel="0" collapsed="false">
      <c r="B154" s="0" t="s">
        <v>82</v>
      </c>
      <c r="C154" s="0" t="s">
        <v>55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83</v>
      </c>
      <c r="D155" s="13" t="n">
        <f aca="false">D145+D146+D147+D148+D149+D150+D151-D152-D153-D154</f>
        <v>786028.448000006</v>
      </c>
      <c r="E155" s="19" t="n">
        <f aca="false">D155/D137</f>
        <v>0.01938635881125</v>
      </c>
    </row>
    <row r="156" customFormat="false" ht="15" hidden="false" customHeight="false" outlineLevel="0" collapsed="false">
      <c r="C156" s="0" t="s">
        <v>84</v>
      </c>
      <c r="D156" s="10" t="n">
        <f aca="false">AGO26!D155</f>
        <v>764892.470000003</v>
      </c>
      <c r="E156" s="17" t="n">
        <f aca="false">AGO26!E155</f>
        <v>0.0189408020440123</v>
      </c>
    </row>
    <row r="160" customFormat="false" ht="15" hidden="false" customHeight="false" outlineLevel="0" collapsed="false">
      <c r="B160" s="12" t="s">
        <v>85</v>
      </c>
    </row>
    <row r="162" customFormat="false" ht="15" hidden="false" customHeight="false" outlineLevel="0" collapsed="false">
      <c r="B162" s="12" t="s">
        <v>86</v>
      </c>
    </row>
    <row r="163" customFormat="false" ht="15" hidden="false" customHeight="false" outlineLevel="0" collapsed="false">
      <c r="B163" s="0" t="s">
        <v>87</v>
      </c>
    </row>
    <row r="164" customFormat="false" ht="15" hidden="false" customHeight="false" outlineLevel="0" collapsed="false">
      <c r="B164" s="12" t="s">
        <v>88</v>
      </c>
    </row>
    <row r="165" customFormat="false" ht="15" hidden="false" customHeight="false" outlineLevel="0" collapsed="false">
      <c r="B165" s="0" t="s">
        <v>89</v>
      </c>
    </row>
    <row r="166" customFormat="false" ht="15" hidden="false" customHeight="false" outlineLevel="0" collapsed="false">
      <c r="B166" s="12" t="s">
        <v>90</v>
      </c>
    </row>
    <row r="167" customFormat="false" ht="15" hidden="false" customHeight="false" outlineLevel="0" collapsed="false">
      <c r="B167" s="0" t="s">
        <v>91</v>
      </c>
    </row>
    <row r="168" customFormat="false" ht="15" hidden="false" customHeight="false" outlineLevel="0" collapsed="false">
      <c r="B168" s="12" t="s">
        <v>92</v>
      </c>
    </row>
    <row r="169" customFormat="false" ht="15" hidden="false" customHeight="false" outlineLevel="0" collapsed="false">
      <c r="B169" s="0" t="s">
        <v>93</v>
      </c>
    </row>
    <row r="170" customFormat="false" ht="15" hidden="false" customHeight="false" outlineLevel="0" collapsed="false">
      <c r="B170" s="12" t="s">
        <v>94</v>
      </c>
    </row>
    <row r="171" customFormat="false" ht="15" hidden="false" customHeight="false" outlineLevel="0" collapsed="false">
      <c r="B171" s="0" t="s">
        <v>95</v>
      </c>
    </row>
    <row r="172" customFormat="false" ht="15" hidden="false" customHeight="false" outlineLevel="0" collapsed="false">
      <c r="B172" s="12" t="s">
        <v>96</v>
      </c>
    </row>
    <row r="173" customFormat="false" ht="15" hidden="false" customHeight="false" outlineLevel="0" collapsed="false">
      <c r="B173" s="0" t="s">
        <v>97</v>
      </c>
    </row>
    <row r="174" customFormat="false" ht="15" hidden="false" customHeight="false" outlineLevel="0" collapsed="false">
      <c r="B174" s="12" t="s">
        <v>98</v>
      </c>
    </row>
    <row r="175" customFormat="false" ht="15" hidden="false" customHeight="false" outlineLevel="0" collapsed="false">
      <c r="B175" s="0" t="s">
        <v>99</v>
      </c>
    </row>
    <row r="176" customFormat="false" ht="15" hidden="false" customHeight="false" outlineLevel="0" collapsed="false">
      <c r="B176" s="12" t="s">
        <v>100</v>
      </c>
    </row>
    <row r="177" customFormat="false" ht="15" hidden="false" customHeight="false" outlineLevel="0" collapsed="false">
      <c r="B177" s="0" t="s">
        <v>101</v>
      </c>
    </row>
    <row r="178" customFormat="false" ht="15" hidden="false" customHeight="false" outlineLevel="0" collapsed="false">
      <c r="B178" s="12" t="s">
        <v>102</v>
      </c>
    </row>
    <row r="179" customFormat="false" ht="15" hidden="false" customHeight="false" outlineLevel="0" collapsed="false">
      <c r="B179" s="0" t="s">
        <v>103</v>
      </c>
    </row>
    <row r="180" customFormat="false" ht="15" hidden="false" customHeight="false" outlineLevel="0" collapsed="false">
      <c r="B180" s="12" t="s">
        <v>104</v>
      </c>
    </row>
    <row r="181" customFormat="false" ht="15" hidden="false" customHeight="false" outlineLevel="0" collapsed="false">
      <c r="B18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2026-10-28T18:38:09Z</dcterms:created>
  <dc:creator>openpyxl</dc:creator>
  <dc:description/>
  <dc:language>en-US</dc:language>
  <cp:lastModifiedBy/>
  <dcterms:modified xsi:type="dcterms:W3CDTF">2026-10-28T18:38:09Z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