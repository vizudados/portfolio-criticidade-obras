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FEV26" sheetId="2" state="visible" r:id="rId4"/>
    <sheet name="MAR26" sheetId="3" state="visible" r:id="rId5"/>
    <sheet name="ABR26" sheetId="4" state="visible" r:id="rId6"/>
    <sheet name="MAI26" sheetId="5" state="visible" r:id="rId7"/>
    <sheet name="JUN26" sheetId="6" state="visible" r:id="rId8"/>
    <sheet name="JUL26" sheetId="7" state="visible" r:id="rId9"/>
    <sheet name="AGO26" sheetId="8" state="visible" r:id="rId10"/>
    <sheet name="SET26" sheetId="9" state="visible" r:id="rId11"/>
  </sheets>
  <definedNames>
    <definedName function="false" hidden="false" localSheetId="3" name="_xlnm.Print_Area" vbProcedure="false">ABR26!$A$132:$J$157</definedName>
    <definedName function="false" hidden="false" localSheetId="7" name="_xlnm.Print_Area" vbProcedure="false">AGO26!$A$132:$J$157</definedName>
    <definedName function="false" hidden="false" localSheetId="1" name="_xlnm.Print_Area" vbProcedure="false">FEV26!$A$132:$J$157</definedName>
    <definedName function="false" hidden="false" localSheetId="6" name="_xlnm.Print_Area" vbProcedure="false">JUL26!$A$132:$J$157</definedName>
    <definedName function="false" hidden="false" localSheetId="5" name="_xlnm.Print_Area" vbProcedure="false">JUN26!$A$132:$J$157</definedName>
    <definedName function="false" hidden="false" localSheetId="4" name="_xlnm.Print_Area" vbProcedure="false">MAI26!$A$132:$J$157</definedName>
    <definedName function="false" hidden="false" localSheetId="2" name="_xlnm.Print_Area" vbProcedure="false">MAR26!$A$132:$J$157</definedName>
    <definedName function="false" hidden="false" localSheetId="8" name="_xlnm.Print_Area" vbProcedure="false">SET26!$A$132:$J$157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<sst xmlns="http://schemas.openxmlformats.org/spreadsheetml/2006/main" count="900" uniqueCount="124">
  <si>
    <t xml:space="preserve">Análise Crítica · TIROL</t>
  </si>
  <si>
    <t xml:space="preserve">Dados fictícios: construtora inventada de Natal/RN, portfólio Vizu Dados.</t>
  </si>
  <si>
    <t xml:space="preserve">Uma aba por mês (MMMAA). Os campos são lidos pelo rótulo da coluna B.</t>
  </si>
  <si>
    <t xml:space="preserve">Versão 01 da planilha: a dívida da obra (item 10) desconta do resultado.</t>
  </si>
  <si>
    <t xml:space="preserve">ANÁLISE DE DESEMPENHO ECONÔMICO DA OBRA</t>
  </si>
  <si>
    <t xml:space="preserve">Construtora fictícia de Natal/RN · portfólio Vizu Dados · dados inventados</t>
  </si>
  <si>
    <t xml:space="preserve">Versão 01 · revisão de 01/09/2025: a dívida da obra passa a descontar do resultado</t>
  </si>
  <si>
    <t xml:space="preserve">Célula editável</t>
  </si>
  <si>
    <t xml:space="preserve">Resultado (não editar)</t>
  </si>
  <si>
    <t xml:space="preserve">Tabela anexada</t>
  </si>
  <si>
    <t xml:space="preserve">% relacionada</t>
  </si>
  <si>
    <t xml:space="preserve">1º passo: Projeto (definir o empreendimento)</t>
  </si>
  <si>
    <t xml:space="preserve">TIROL</t>
  </si>
  <si>
    <t xml:space="preserve">2º passo: Mês de análise (definir o mês de referência)</t>
  </si>
  <si>
    <t xml:space="preserve">3º passo: Orçamento da obra projetado (com INCC no a realizar)</t>
  </si>
  <si>
    <t xml:space="preserve">Tipo do orçamento</t>
  </si>
  <si>
    <t xml:space="preserve">Orçamento legal</t>
  </si>
  <si>
    <t xml:space="preserve">4º passo: Previsto do mês (incluir o % do cronograma)</t>
  </si>
  <si>
    <t xml:space="preserve">5º passo: Executado do mês (incluir o % medido)</t>
  </si>
  <si>
    <t xml:space="preserve">6º passo: Previsto acumulado do mês</t>
  </si>
  <si>
    <t xml:space="preserve">7º passo: Executado acumulado do mês</t>
  </si>
  <si>
    <t xml:space="preserve">8º passo: Crédito do orçamento (executado acumulado × orçamento)</t>
  </si>
  <si>
    <t xml:space="preserve">8º passo (cont.): Saldo de contrato (tabela)</t>
  </si>
  <si>
    <t xml:space="preserve">9º passo: Adiantamento de serviços não medidos (tabela)</t>
  </si>
  <si>
    <t xml:space="preserve">10º passo: Adiantamento de materiais não estocados (tabela)</t>
  </si>
  <si>
    <t xml:space="preserve">11º passo: Estoque de materiais (almoxarifado)</t>
  </si>
  <si>
    <t xml:space="preserve">12º passo: Equipamentos comprados (valor de mercado)</t>
  </si>
  <si>
    <t xml:space="preserve">13º passo: Receitas de personalizações (tabela)</t>
  </si>
  <si>
    <t xml:space="preserve">14º passo: Contas a pagar dos medidos (relatório a pagar)</t>
  </si>
  <si>
    <t xml:space="preserve">15º passo: Valor desembolsado pela obra (relatório conferido)</t>
  </si>
  <si>
    <t xml:space="preserve">Valor corrigido (sem os itens apontados irregularmente)</t>
  </si>
  <si>
    <t xml:space="preserve">16º passo: Dívida da obra a ser paga (outra obra da carteira)</t>
  </si>
  <si>
    <t xml:space="preserve">Saldo de contrato</t>
  </si>
  <si>
    <t xml:space="preserve">Adiantamento de materiais não estocados</t>
  </si>
  <si>
    <t xml:space="preserve">Total</t>
  </si>
  <si>
    <t xml:space="preserve">Adiantamento de serviços não medidos</t>
  </si>
  <si>
    <t xml:space="preserve">Estoque de materiais</t>
  </si>
  <si>
    <t xml:space="preserve">Material de canteiro (tapumes e contêineres)</t>
  </si>
  <si>
    <t xml:space="preserve">Cimento e agregados</t>
  </si>
  <si>
    <t xml:space="preserve">Aço CA-50 para fundação</t>
  </si>
  <si>
    <t xml:space="preserve">Equipamentos comprados</t>
  </si>
  <si>
    <t xml:space="preserve">Receitas de personalizações</t>
  </si>
  <si>
    <t xml:space="preserve">Betoneira 400 L</t>
  </si>
  <si>
    <t xml:space="preserve">Guincho de coluna</t>
  </si>
  <si>
    <t xml:space="preserve">Container escritório (2 un.)</t>
  </si>
  <si>
    <t xml:space="preserve">Contas a pagar dos medidos</t>
  </si>
  <si>
    <t xml:space="preserve">Itens apontados irregularmente no relatório</t>
  </si>
  <si>
    <t xml:space="preserve">Medição de terraplenagem · NF 12007</t>
  </si>
  <si>
    <t xml:space="preserve">Locação de equipamentos · NF 32241</t>
  </si>
  <si>
    <t xml:space="preserve">Encargos e INSS do mês · NF 71223</t>
  </si>
  <si>
    <t xml:space="preserve">Dívida da obra a ser paga</t>
  </si>
  <si>
    <t xml:space="preserve">RESULTADO PARA UTILIZAR NA APRESENTAÇÃO</t>
  </si>
  <si>
    <t xml:space="preserve">Tabela informativa do desembolso do mês</t>
  </si>
  <si>
    <t xml:space="preserve">Projeto</t>
  </si>
  <si>
    <t xml:space="preserve">Valor previsto para o mês</t>
  </si>
  <si>
    <t xml:space="preserve">Orçamento</t>
  </si>
  <si>
    <t xml:space="preserve">Valor desembolsado no mês</t>
  </si>
  <si>
    <t xml:space="preserve">Diferença entre o previsto e o desembolsado</t>
  </si>
  <si>
    <t xml:space="preserve">Mês</t>
  </si>
  <si>
    <t xml:space="preserve">Justificativa para diferença acima de 10% (obrigatória)</t>
  </si>
  <si>
    <t xml:space="preserve">% previsto do mês</t>
  </si>
  <si>
    <t xml:space="preserve">% executado do mês</t>
  </si>
  <si>
    <t xml:space="preserve">% previsto acumulado</t>
  </si>
  <si>
    <t xml:space="preserve">% executado acumulado</t>
  </si>
  <si>
    <t xml:space="preserve">01</t>
  </si>
  <si>
    <t xml:space="preserve">Crédito do orçamento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</si>
  <si>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</si>
  <si>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</si>
  <si>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</si>
  <si>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</si>
  <si>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</si>
  <si>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Equipamentos (valor de mercado)</t>
  </si>
  <si>
    <t xml:space="preserve">07</t>
  </si>
  <si>
    <t xml:space="preserve">Receita de personalizações</t>
  </si>
  <si>
    <t xml:space="preserve">08</t>
  </si>
  <si>
    <t xml:space="preserve">09</t>
  </si>
  <si>
    <t xml:space="preserve">Valor desembolsado (corrigido)</t>
  </si>
  <si>
    <t xml:space="preserve">10</t>
  </si>
  <si>
    <t xml:space="preserve">Resultado mensal da obra</t>
  </si>
  <si>
    <t xml:space="preserve">Resultado do mês anterior</t>
  </si>
  <si>
    <t xml:space="preserve">Significado de cada item</t>
  </si>
  <si>
    <t xml:space="preserve">Crédito do orçamento:</t>
  </si>
  <si>
    <t xml:space="preserve">Quanto a obra podia ter gasto pelo que executou: orçamento × executado acumulado.</t>
  </si>
  <si>
    <t xml:space="preserve">Saldo de contrato:</t>
  </si>
  <si>
    <t xml:space="preserve">Desconto obtido num contrato e ainda não realizado; abatido à medida que o serviço é medido.</t>
  </si>
  <si>
    <t xml:space="preserve">Adiantamento de serviços não medidos:</t>
  </si>
  <si>
    <t xml:space="preserve">Sinal pago de contrato ainda não medido (ex.: elevadores).</t>
  </si>
  <si>
    <t xml:space="preserve">Adiantamento de materiais não estocados:</t>
  </si>
  <si>
    <t xml:space="preserve">Material pago que ainda não chegou à obra (ex.: esquadrias).</t>
  </si>
  <si>
    <t xml:space="preserve">Estoque de materiais:</t>
  </si>
  <si>
    <t xml:space="preserve">Material no almoxarifado, ainda não aplicado, informado pelo almoxarife.</t>
  </si>
  <si>
    <t xml:space="preserve">Equipamentos (valor de mercado):</t>
  </si>
  <si>
    <t xml:space="preserve">Equipamento comprado pela obra e reaproveitável no fim, pelo valor de mercado.</t>
  </si>
  <si>
    <t xml:space="preserve">Receita de personalizações:</t>
  </si>
  <si>
    <t xml:space="preserve">Personalizações pagas pelos clientes, acumuladas até o fim da obra.</t>
  </si>
  <si>
    <t xml:space="preserve">Contas a pagar dos medidos:</t>
  </si>
  <si>
    <t xml:space="preserve">Serviço já medido e ainda a pagar (relatório de contas a pagar).</t>
  </si>
  <si>
    <t xml:space="preserve">Valor desembolsado pela obra:</t>
  </si>
  <si>
    <t xml:space="preserve">Desembolso acumulado desde o início, conferido e sem os itens apontados na obra errada.</t>
  </si>
  <si>
    <t xml:space="preserve">Dívida da obra a ser paga:</t>
  </si>
  <si>
    <t xml:space="preserve">Material de outra obra da carteira usado nesta: custo da obra, desconta do resultado (versão 01 da planilha).</t>
  </si>
  <si>
    <t xml:space="preserve">Medição de terraplenagem · NF 77565</t>
  </si>
  <si>
    <t xml:space="preserve">Locação de equipamentos · NF 23137</t>
  </si>
  <si>
    <t xml:space="preserve">Encargos e INSS do mês · NF 30173</t>
  </si>
  <si>
    <t xml:space="preserve">Medição de terraplenagem · NF 73503</t>
  </si>
  <si>
    <t xml:space="preserve">Locação de equipamentos · NF 33254</t>
  </si>
  <si>
    <t xml:space="preserve">Encargos e INSS do mês · NF 74163</t>
  </si>
  <si>
    <t xml:space="preserve">Medição de terraplenagem · NF 28131</t>
  </si>
  <si>
    <t xml:space="preserve">Locação de equipamentos · NF 81518</t>
  </si>
  <si>
    <t xml:space="preserve">Encargos e INSS do mês · NF 1830</t>
  </si>
  <si>
    <t xml:space="preserve">Medição de terraplenagem · NF 41637</t>
  </si>
  <si>
    <t xml:space="preserve">Locação de equipamentos · NF 36713</t>
  </si>
  <si>
    <t xml:space="preserve">Encargos e INSS do mês · NF 25665</t>
  </si>
  <si>
    <t xml:space="preserve">Medição de terraplenagem · NF 61117</t>
  </si>
  <si>
    <t xml:space="preserve">Locação de equipamentos · NF 61675</t>
  </si>
  <si>
    <t xml:space="preserve">Encargos e INSS do mês · NF 62899</t>
  </si>
  <si>
    <t xml:space="preserve">Aço CA-50 para blocos e baldrame</t>
  </si>
  <si>
    <t xml:space="preserve">Madeira para formas</t>
  </si>
  <si>
    <t xml:space="preserve">Medição de fundação (estacas hélice) · NF 35049</t>
  </si>
  <si>
    <t xml:space="preserve">Concreto usinado dos blocos · NF 54356</t>
  </si>
  <si>
    <t xml:space="preserve">Encargos e INSS do mês · NF 37025</t>
  </si>
  <si>
    <t xml:space="preserve">Medição de fundação (estacas hélice) · NF 15819</t>
  </si>
  <si>
    <t xml:space="preserve">Concreto usinado dos blocos · NF 9713</t>
  </si>
  <si>
    <t xml:space="preserve">Encargos e INSS do mês · NF 4326</t>
  </si>
</sst>
</file>

<file path=xl/styles.xml><?xml version="1.0" encoding="utf-8"?>
<styleSheet xmlns="http://schemas.openxmlformats.org/spreadsheetml/2006/main">
  <numFmts count="3">
    <numFmt numFmtId="164" formatCode="General"/>
    <numFmt numFmtId="166" formatCode="#,##0.00;[RED]\-#,##0.00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46054</v>
      </c>
    </row>
    <row r="28" customFormat="false" ht="15" hidden="false" customHeight="false" outlineLevel="0" collapsed="false">
      <c r="B28" s="0" t="s">
        <v>14</v>
      </c>
      <c r="J28" s="8" t="n">
        <v>30119500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0.0025</v>
      </c>
    </row>
    <row r="33" customFormat="false" ht="15" hidden="false" customHeight="false" outlineLevel="0" collapsed="false">
      <c r="B33" s="0" t="s">
        <v>18</v>
      </c>
      <c r="F33" s="9" t="n">
        <v>0.0014</v>
      </c>
    </row>
    <row r="35" customFormat="false" ht="15" hidden="false" customHeight="false" outlineLevel="0" collapsed="false">
      <c r="B35" s="0" t="s">
        <v>19</v>
      </c>
      <c r="F35" s="9" t="n">
        <v>0.0025</v>
      </c>
    </row>
    <row r="37" customFormat="false" ht="15" hidden="false" customHeight="false" outlineLevel="0" collapsed="false">
      <c r="B37" s="0" t="s">
        <v>20</v>
      </c>
      <c r="F37" s="9" t="n">
        <v>0.0014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42167.3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30119.5</v>
      </c>
    </row>
    <row r="49" customFormat="false" ht="15" hidden="false" customHeight="false" outlineLevel="0" collapsed="false">
      <c r="B49" s="0" t="s">
        <v>26</v>
      </c>
      <c r="F49" s="10" t="n">
        <f aca="false">E102</f>
        <v>76300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20000</v>
      </c>
    </row>
    <row r="55" customFormat="false" ht="15" hidden="false" customHeight="false" outlineLevel="0" collapsed="false">
      <c r="B55" s="0" t="s">
        <v>29</v>
      </c>
      <c r="F55" s="8" t="n">
        <v>51869.3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51869.3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10970.74</v>
      </c>
    </row>
    <row r="79" customFormat="false" ht="15" hidden="false" customHeight="false" outlineLevel="0" collapsed="false">
      <c r="G79" s="0" t="s">
        <v>38</v>
      </c>
      <c r="J79" s="14" t="n">
        <v>6700.22</v>
      </c>
    </row>
    <row r="80" customFormat="false" ht="15" hidden="false" customHeight="false" outlineLevel="0" collapsed="false">
      <c r="G80" s="0" t="s">
        <v>39</v>
      </c>
      <c r="J80" s="14" t="n">
        <v>12448.54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30119.5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28000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76300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47</v>
      </c>
      <c r="E106" s="14" t="n">
        <v>5769.67</v>
      </c>
    </row>
    <row r="107" customFormat="false" ht="15" hidden="false" customHeight="false" outlineLevel="0" collapsed="false">
      <c r="B107" s="0" t="s">
        <v>48</v>
      </c>
      <c r="E107" s="14" t="n">
        <v>6314.98</v>
      </c>
    </row>
    <row r="108" customFormat="false" ht="15" hidden="false" customHeight="false" outlineLevel="0" collapsed="false">
      <c r="B108" s="0" t="s">
        <v>49</v>
      </c>
      <c r="E108" s="14" t="n">
        <v>7915.35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20000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TIROL</v>
      </c>
      <c r="G136" s="15" t="s">
        <v>54</v>
      </c>
      <c r="J136" s="8" t="n">
        <v>49787.1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30119500</v>
      </c>
      <c r="G137" s="15" t="s">
        <v>56</v>
      </c>
      <c r="J137" s="8" t="n">
        <v>51869.3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legal</v>
      </c>
      <c r="G138" s="15" t="s">
        <v>57</v>
      </c>
      <c r="J138" s="10" t="n">
        <f aca="false">J137-J136</f>
        <v>2082.2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46054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0.0025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0.0014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0.0025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0.0014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42167.3</v>
      </c>
      <c r="E145" s="18" t="n">
        <f aca="false">D145/$D$137</f>
        <v>0.0014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30119.5</v>
      </c>
      <c r="E149" s="18" t="n">
        <f aca="false">D149/$D$137</f>
        <v>0.001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76300</v>
      </c>
      <c r="E150" s="18" t="n">
        <f aca="false">D150/$D$137</f>
        <v>0.00253324258370823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20000</v>
      </c>
      <c r="E152" s="18" t="n">
        <f aca="false">D152/$D$137</f>
        <v>0.000664021647105696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51869.3</v>
      </c>
      <c r="E153" s="18" t="n">
        <f aca="false">D153/$D$137</f>
        <v>0.00172211690101097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76717.5</v>
      </c>
      <c r="E155" s="19" t="n">
        <f aca="false">D155/D137</f>
        <v>0.00254710403559156</v>
      </c>
    </row>
    <row r="156" customFormat="false" ht="15" hidden="false" customHeight="false" outlineLevel="0" collapsed="false">
      <c r="C156" s="0" t="s">
        <v>79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46082</v>
      </c>
    </row>
    <row r="28" customFormat="false" ht="15" hidden="false" customHeight="false" outlineLevel="0" collapsed="false">
      <c r="B28" s="0" t="s">
        <v>14</v>
      </c>
      <c r="J28" s="8" t="n">
        <v>30243400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0.0075</v>
      </c>
    </row>
    <row r="33" customFormat="false" ht="15" hidden="false" customHeight="false" outlineLevel="0" collapsed="false">
      <c r="B33" s="0" t="s">
        <v>18</v>
      </c>
      <c r="F33" s="9" t="n">
        <v>0.0043</v>
      </c>
    </row>
    <row r="35" customFormat="false" ht="15" hidden="false" customHeight="false" outlineLevel="0" collapsed="false">
      <c r="B35" s="0" t="s">
        <v>19</v>
      </c>
      <c r="F35" s="9" t="n">
        <v>0.01</v>
      </c>
    </row>
    <row r="37" customFormat="false" ht="15" hidden="false" customHeight="false" outlineLevel="0" collapsed="false">
      <c r="B37" s="0" t="s">
        <v>20</v>
      </c>
      <c r="F37" s="9" t="n">
        <v>0.0057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172387.38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61094.2</v>
      </c>
    </row>
    <row r="49" customFormat="false" ht="15" hidden="false" customHeight="false" outlineLevel="0" collapsed="false">
      <c r="B49" s="0" t="s">
        <v>26</v>
      </c>
      <c r="F49" s="10" t="n">
        <f aca="false">E102</f>
        <v>76300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31554.1</v>
      </c>
    </row>
    <row r="55" customFormat="false" ht="15" hidden="false" customHeight="false" outlineLevel="0" collapsed="false">
      <c r="B55" s="0" t="s">
        <v>29</v>
      </c>
      <c r="F55" s="8" t="n">
        <v>200559.33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200559.33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22941.39</v>
      </c>
    </row>
    <row r="79" customFormat="false" ht="15" hidden="false" customHeight="false" outlineLevel="0" collapsed="false">
      <c r="G79" s="0" t="s">
        <v>38</v>
      </c>
      <c r="J79" s="14" t="n">
        <v>14685.39</v>
      </c>
    </row>
    <row r="80" customFormat="false" ht="15" hidden="false" customHeight="false" outlineLevel="0" collapsed="false">
      <c r="G80" s="0" t="s">
        <v>39</v>
      </c>
      <c r="J80" s="14" t="n">
        <v>23467.42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61094.2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28000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76300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101</v>
      </c>
      <c r="E106" s="14" t="n">
        <v>7639.46</v>
      </c>
    </row>
    <row r="107" customFormat="false" ht="15" hidden="false" customHeight="false" outlineLevel="0" collapsed="false">
      <c r="B107" s="0" t="s">
        <v>102</v>
      </c>
      <c r="E107" s="14" t="n">
        <v>11570.25</v>
      </c>
    </row>
    <row r="108" customFormat="false" ht="15" hidden="false" customHeight="false" outlineLevel="0" collapsed="false">
      <c r="B108" s="0" t="s">
        <v>103</v>
      </c>
      <c r="E108" s="14" t="n">
        <v>12344.39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31554.1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TIROL</v>
      </c>
      <c r="G136" s="15" t="s">
        <v>54</v>
      </c>
      <c r="J136" s="8" t="n">
        <v>146784.02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30243400</v>
      </c>
      <c r="G137" s="15" t="s">
        <v>56</v>
      </c>
      <c r="J137" s="8" t="n">
        <v>148690.03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legal</v>
      </c>
      <c r="G138" s="15" t="s">
        <v>57</v>
      </c>
      <c r="J138" s="10" t="n">
        <f aca="false">J137-J136</f>
        <v>1906.01000000001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46082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0.0075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0.0043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0.01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0.0057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172387.38</v>
      </c>
      <c r="E145" s="18" t="n">
        <f aca="false">D145/$D$137</f>
        <v>0.0057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61094.2</v>
      </c>
      <c r="E149" s="18" t="n">
        <f aca="false">D149/$D$137</f>
        <v>0.00202008372074568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76300</v>
      </c>
      <c r="E150" s="18" t="n">
        <f aca="false">D150/$D$137</f>
        <v>0.00252286449274883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31554.1</v>
      </c>
      <c r="E152" s="18" t="n">
        <f aca="false">D152/$D$137</f>
        <v>0.00104333838126666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200559.33</v>
      </c>
      <c r="E153" s="18" t="n">
        <f aca="false">D153/$D$137</f>
        <v>0.00663150737020309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77668.1500000001</v>
      </c>
      <c r="E155" s="19" t="n">
        <f aca="false">D155/D137</f>
        <v>0.00256810246202477</v>
      </c>
    </row>
    <row r="156" customFormat="false" ht="15" hidden="false" customHeight="false" outlineLevel="0" collapsed="false">
      <c r="C156" s="0" t="s">
        <v>79</v>
      </c>
      <c r="D156" s="10" t="n">
        <f aca="false">FEV26!D155</f>
        <v>76717.5</v>
      </c>
      <c r="E156" s="17" t="n">
        <f aca="false">FEV26!E155</f>
        <v>0.00254710403559156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46082</v>
      </c>
    </row>
    <row r="28" customFormat="false" ht="15" hidden="false" customHeight="false" outlineLevel="0" collapsed="false">
      <c r="B28" s="0" t="s">
        <v>14</v>
      </c>
      <c r="J28" s="8" t="n">
        <v>30367300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0.012</v>
      </c>
    </row>
    <row r="33" customFormat="false" ht="15" hidden="false" customHeight="false" outlineLevel="0" collapsed="false">
      <c r="B33" s="0" t="s">
        <v>18</v>
      </c>
      <c r="F33" s="9" t="n">
        <v>0.0057</v>
      </c>
    </row>
    <row r="35" customFormat="false" ht="15" hidden="false" customHeight="false" outlineLevel="0" collapsed="false">
      <c r="B35" s="0" t="s">
        <v>19</v>
      </c>
      <c r="F35" s="9" t="n">
        <v>0.022</v>
      </c>
    </row>
    <row r="37" customFormat="false" ht="15" hidden="false" customHeight="false" outlineLevel="0" collapsed="false">
      <c r="B37" s="0" t="s">
        <v>20</v>
      </c>
      <c r="F37" s="9" t="n">
        <v>0.0114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346187.22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51092.5</v>
      </c>
    </row>
    <row r="49" customFormat="false" ht="15" hidden="false" customHeight="false" outlineLevel="0" collapsed="false">
      <c r="B49" s="0" t="s">
        <v>26</v>
      </c>
      <c r="F49" s="10" t="n">
        <f aca="false">E102</f>
        <v>76300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34905.3</v>
      </c>
    </row>
    <row r="55" customFormat="false" ht="15" hidden="false" customHeight="false" outlineLevel="0" collapsed="false">
      <c r="B55" s="0" t="s">
        <v>29</v>
      </c>
      <c r="F55" s="8" t="n">
        <v>360309.69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360309.69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14244.22</v>
      </c>
    </row>
    <row r="79" customFormat="false" ht="15" hidden="false" customHeight="false" outlineLevel="0" collapsed="false">
      <c r="G79" s="0" t="s">
        <v>38</v>
      </c>
      <c r="J79" s="14" t="n">
        <v>18308.45</v>
      </c>
    </row>
    <row r="80" customFormat="false" ht="15" hidden="false" customHeight="false" outlineLevel="0" collapsed="false">
      <c r="G80" s="0" t="s">
        <v>39</v>
      </c>
      <c r="J80" s="14" t="n">
        <v>18539.83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51092.5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28000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76300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104</v>
      </c>
      <c r="E106" s="14" t="n">
        <v>9136.13</v>
      </c>
    </row>
    <row r="107" customFormat="false" ht="15" hidden="false" customHeight="false" outlineLevel="0" collapsed="false">
      <c r="B107" s="0" t="s">
        <v>105</v>
      </c>
      <c r="E107" s="14" t="n">
        <v>13895.9</v>
      </c>
    </row>
    <row r="108" customFormat="false" ht="15" hidden="false" customHeight="false" outlineLevel="0" collapsed="false">
      <c r="B108" s="0" t="s">
        <v>106</v>
      </c>
      <c r="E108" s="14" t="n">
        <v>11873.27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34905.3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TIROL</v>
      </c>
      <c r="G136" s="15" t="s">
        <v>54</v>
      </c>
      <c r="J136" s="8" t="n">
        <v>169667.48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30367300</v>
      </c>
      <c r="G137" s="15" t="s">
        <v>56</v>
      </c>
      <c r="J137" s="8" t="n">
        <v>159750.36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legal</v>
      </c>
      <c r="G138" s="15" t="s">
        <v>57</v>
      </c>
      <c r="J138" s="10" t="n">
        <f aca="false">J137-J136</f>
        <v>-9917.12000000002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46082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0.012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0.0057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0.022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0.0114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346187.22</v>
      </c>
      <c r="E145" s="18" t="n">
        <f aca="false">D145/$D$137</f>
        <v>0.0114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51092.5</v>
      </c>
      <c r="E149" s="18" t="n">
        <f aca="false">D149/$D$137</f>
        <v>0.0016824841194311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76300</v>
      </c>
      <c r="E150" s="18" t="n">
        <f aca="false">D150/$D$137</f>
        <v>0.0025125710879795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34905.3</v>
      </c>
      <c r="E152" s="18" t="n">
        <f aca="false">D152/$D$137</f>
        <v>0.00114943705894169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360309.69</v>
      </c>
      <c r="E153" s="18" t="n">
        <f aca="false">D153/$D$137</f>
        <v>0.0118650551744804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78364.73</v>
      </c>
      <c r="E155" s="19" t="n">
        <f aca="false">D155/D137</f>
        <v>0.00258056297398847</v>
      </c>
    </row>
    <row r="156" customFormat="false" ht="15" hidden="false" customHeight="false" outlineLevel="0" collapsed="false">
      <c r="C156" s="0" t="s">
        <v>79</v>
      </c>
      <c r="D156" s="10" t="n">
        <f aca="false">MAR26!D155</f>
        <v>77668.1500000001</v>
      </c>
      <c r="E156" s="17" t="n">
        <f aca="false">MAR26!E155</f>
        <v>0.00256810246202477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46143</v>
      </c>
    </row>
    <row r="28" customFormat="false" ht="15" hidden="false" customHeight="false" outlineLevel="0" collapsed="false">
      <c r="B28" s="0" t="s">
        <v>14</v>
      </c>
      <c r="J28" s="8" t="n">
        <v>30491200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0.0163</v>
      </c>
    </row>
    <row r="33" customFormat="false" ht="15" hidden="false" customHeight="false" outlineLevel="0" collapsed="false">
      <c r="B33" s="0" t="s">
        <v>18</v>
      </c>
      <c r="F33" s="9" t="n">
        <v>0.0082</v>
      </c>
    </row>
    <row r="35" customFormat="false" ht="15" hidden="false" customHeight="false" outlineLevel="0" collapsed="false">
      <c r="B35" s="0" t="s">
        <v>19</v>
      </c>
      <c r="F35" s="9" t="n">
        <v>0.0383</v>
      </c>
    </row>
    <row r="37" customFormat="false" ht="15" hidden="false" customHeight="false" outlineLevel="0" collapsed="false">
      <c r="B37" s="0" t="s">
        <v>20</v>
      </c>
      <c r="F37" s="9" t="n">
        <v>0.0196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597627.52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69381.89</v>
      </c>
    </row>
    <row r="49" customFormat="false" ht="15" hidden="false" customHeight="false" outlineLevel="0" collapsed="false">
      <c r="B49" s="0" t="s">
        <v>26</v>
      </c>
      <c r="F49" s="10" t="n">
        <f aca="false">E102</f>
        <v>76300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46452.66</v>
      </c>
    </row>
    <row r="55" customFormat="false" ht="15" hidden="false" customHeight="false" outlineLevel="0" collapsed="false">
      <c r="B55" s="0" t="s">
        <v>29</v>
      </c>
      <c r="F55" s="8" t="n">
        <v>618175.76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618175.76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17957.98</v>
      </c>
    </row>
    <row r="79" customFormat="false" ht="15" hidden="false" customHeight="false" outlineLevel="0" collapsed="false">
      <c r="G79" s="0" t="s">
        <v>38</v>
      </c>
      <c r="J79" s="14" t="n">
        <v>32137.4</v>
      </c>
    </row>
    <row r="80" customFormat="false" ht="15" hidden="false" customHeight="false" outlineLevel="0" collapsed="false">
      <c r="G80" s="0" t="s">
        <v>39</v>
      </c>
      <c r="J80" s="14" t="n">
        <v>19286.51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69381.89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28000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76300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107</v>
      </c>
      <c r="E106" s="14" t="n">
        <v>15519.77</v>
      </c>
    </row>
    <row r="107" customFormat="false" ht="15" hidden="false" customHeight="false" outlineLevel="0" collapsed="false">
      <c r="B107" s="0" t="s">
        <v>108</v>
      </c>
      <c r="E107" s="14" t="n">
        <v>15339.69</v>
      </c>
    </row>
    <row r="108" customFormat="false" ht="15" hidden="false" customHeight="false" outlineLevel="0" collapsed="false">
      <c r="B108" s="0" t="s">
        <v>109</v>
      </c>
      <c r="E108" s="14" t="n">
        <v>15593.2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46452.66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TIROL</v>
      </c>
      <c r="G136" s="15" t="s">
        <v>54</v>
      </c>
      <c r="J136" s="8" t="n">
        <v>267825.79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30491200</v>
      </c>
      <c r="G137" s="15" t="s">
        <v>56</v>
      </c>
      <c r="J137" s="8" t="n">
        <v>257866.07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legal</v>
      </c>
      <c r="G138" s="15" t="s">
        <v>57</v>
      </c>
      <c r="J138" s="10" t="n">
        <f aca="false">J137-J136</f>
        <v>-9959.71999999997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46143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0.0163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0.0082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0.0383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0.0196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597627.52</v>
      </c>
      <c r="E145" s="18" t="n">
        <f aca="false">D145/$D$137</f>
        <v>0.0196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69381.89</v>
      </c>
      <c r="E149" s="18" t="n">
        <f aca="false">D149/$D$137</f>
        <v>0.00227547259537178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76300</v>
      </c>
      <c r="E150" s="18" t="n">
        <f aca="false">D150/$D$137</f>
        <v>0.00250236133704151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46452.66</v>
      </c>
      <c r="E152" s="18" t="n">
        <f aca="false">D152/$D$137</f>
        <v>0.00152347759353518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618175.76</v>
      </c>
      <c r="E153" s="18" t="n">
        <f aca="false">D153/$D$137</f>
        <v>0.0202739072256914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78680.99</v>
      </c>
      <c r="E155" s="19" t="n">
        <f aca="false">D155/D137</f>
        <v>0.00258044911318676</v>
      </c>
    </row>
    <row r="156" customFormat="false" ht="15" hidden="false" customHeight="false" outlineLevel="0" collapsed="false">
      <c r="C156" s="0" t="s">
        <v>79</v>
      </c>
      <c r="D156" s="10" t="n">
        <f aca="false">ABR26!D155</f>
        <v>78364.73</v>
      </c>
      <c r="E156" s="17" t="n">
        <f aca="false">ABR26!E155</f>
        <v>0.00258056297398847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46174</v>
      </c>
    </row>
    <row r="28" customFormat="false" ht="15" hidden="false" customHeight="false" outlineLevel="0" collapsed="false">
      <c r="B28" s="0" t="s">
        <v>14</v>
      </c>
      <c r="J28" s="8" t="n">
        <v>30615100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0.0202</v>
      </c>
    </row>
    <row r="33" customFormat="false" ht="15" hidden="false" customHeight="false" outlineLevel="0" collapsed="false">
      <c r="B33" s="0" t="s">
        <v>18</v>
      </c>
      <c r="F33" s="9" t="n">
        <v>0.0109</v>
      </c>
    </row>
    <row r="35" customFormat="false" ht="15" hidden="false" customHeight="false" outlineLevel="0" collapsed="false">
      <c r="B35" s="0" t="s">
        <v>19</v>
      </c>
      <c r="F35" s="9" t="n">
        <v>0.0585</v>
      </c>
    </row>
    <row r="37" customFormat="false" ht="15" hidden="false" customHeight="false" outlineLevel="0" collapsed="false">
      <c r="B37" s="0" t="s">
        <v>20</v>
      </c>
      <c r="F37" s="9" t="n">
        <v>0.0305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933760.55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52207.08</v>
      </c>
    </row>
    <row r="49" customFormat="false" ht="15" hidden="false" customHeight="false" outlineLevel="0" collapsed="false">
      <c r="B49" s="0" t="s">
        <v>26</v>
      </c>
      <c r="F49" s="10" t="n">
        <f aca="false">E102</f>
        <v>76300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61769.32</v>
      </c>
    </row>
    <row r="55" customFormat="false" ht="15" hidden="false" customHeight="false" outlineLevel="0" collapsed="false">
      <c r="B55" s="0" t="s">
        <v>29</v>
      </c>
      <c r="F55" s="8" t="n">
        <v>919552.74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919552.74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15852.21</v>
      </c>
    </row>
    <row r="79" customFormat="false" ht="15" hidden="false" customHeight="false" outlineLevel="0" collapsed="false">
      <c r="G79" s="0" t="s">
        <v>38</v>
      </c>
      <c r="J79" s="14" t="n">
        <v>18350.43</v>
      </c>
    </row>
    <row r="80" customFormat="false" ht="15" hidden="false" customHeight="false" outlineLevel="0" collapsed="false">
      <c r="G80" s="0" t="s">
        <v>39</v>
      </c>
      <c r="J80" s="14" t="n">
        <v>18004.44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52207.08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28000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76300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110</v>
      </c>
      <c r="E106" s="14" t="n">
        <v>17974.73</v>
      </c>
    </row>
    <row r="107" customFormat="false" ht="15" hidden="false" customHeight="false" outlineLevel="0" collapsed="false">
      <c r="B107" s="0" t="s">
        <v>111</v>
      </c>
      <c r="E107" s="14" t="n">
        <v>14206.69</v>
      </c>
    </row>
    <row r="108" customFormat="false" ht="15" hidden="false" customHeight="false" outlineLevel="0" collapsed="false">
      <c r="B108" s="0" t="s">
        <v>112</v>
      </c>
      <c r="E108" s="14" t="n">
        <v>29587.9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61769.32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TIROL</v>
      </c>
      <c r="G136" s="15" t="s">
        <v>54</v>
      </c>
      <c r="J136" s="8" t="n">
        <v>305938.79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30615100</v>
      </c>
      <c r="G137" s="15" t="s">
        <v>56</v>
      </c>
      <c r="J137" s="8" t="n">
        <v>301376.98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legal</v>
      </c>
      <c r="G138" s="15" t="s">
        <v>57</v>
      </c>
      <c r="J138" s="10" t="n">
        <f aca="false">J137-J136</f>
        <v>-4561.81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46174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0.0202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0.0109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0.0585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0.0305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933760.55</v>
      </c>
      <c r="E145" s="18" t="n">
        <f aca="false">D145/$D$137</f>
        <v>0.0305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52207.08</v>
      </c>
      <c r="E149" s="18" t="n">
        <f aca="false">D149/$D$137</f>
        <v>0.00170527223494289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76300</v>
      </c>
      <c r="E150" s="18" t="n">
        <f aca="false">D150/$D$137</f>
        <v>0.00249223422428801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61769.32</v>
      </c>
      <c r="E152" s="18" t="n">
        <f aca="false">D152/$D$137</f>
        <v>0.00201760961094362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919552.74</v>
      </c>
      <c r="E153" s="18" t="n">
        <f aca="false">D153/$D$137</f>
        <v>0.0300359214897224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80945.57</v>
      </c>
      <c r="E155" s="19" t="n">
        <f aca="false">D155/D137</f>
        <v>0.00264397535856489</v>
      </c>
    </row>
    <row r="156" customFormat="false" ht="15" hidden="false" customHeight="false" outlineLevel="0" collapsed="false">
      <c r="C156" s="0" t="s">
        <v>79</v>
      </c>
      <c r="D156" s="10" t="n">
        <f aca="false">MAI26!D155</f>
        <v>78680.99</v>
      </c>
      <c r="E156" s="17" t="n">
        <f aca="false">MAI26!E155</f>
        <v>0.00258044911318676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46204</v>
      </c>
    </row>
    <row r="28" customFormat="false" ht="15" hidden="false" customHeight="false" outlineLevel="0" collapsed="false">
      <c r="B28" s="0" t="s">
        <v>14</v>
      </c>
      <c r="J28" s="8" t="n">
        <v>30739000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0.0239</v>
      </c>
    </row>
    <row r="33" customFormat="false" ht="15" hidden="false" customHeight="false" outlineLevel="0" collapsed="false">
      <c r="B33" s="0" t="s">
        <v>18</v>
      </c>
      <c r="F33" s="9" t="n">
        <v>0.014</v>
      </c>
    </row>
    <row r="35" customFormat="false" ht="15" hidden="false" customHeight="false" outlineLevel="0" collapsed="false">
      <c r="B35" s="0" t="s">
        <v>19</v>
      </c>
      <c r="F35" s="9" t="n">
        <v>0.0824</v>
      </c>
    </row>
    <row r="37" customFormat="false" ht="15" hidden="false" customHeight="false" outlineLevel="0" collapsed="false">
      <c r="B37" s="0" t="s">
        <v>20</v>
      </c>
      <c r="F37" s="9" t="n">
        <v>0.0445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1367885.5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72027.41</v>
      </c>
    </row>
    <row r="49" customFormat="false" ht="15" hidden="false" customHeight="false" outlineLevel="0" collapsed="false">
      <c r="B49" s="0" t="s">
        <v>26</v>
      </c>
      <c r="F49" s="10" t="n">
        <f aca="false">E102</f>
        <v>76300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76291.84</v>
      </c>
    </row>
    <row r="55" customFormat="false" ht="15" hidden="false" customHeight="false" outlineLevel="0" collapsed="false">
      <c r="B55" s="0" t="s">
        <v>29</v>
      </c>
      <c r="F55" s="8" t="n">
        <v>1355462.71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1355462.71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33436.14</v>
      </c>
    </row>
    <row r="79" customFormat="false" ht="15" hidden="false" customHeight="false" outlineLevel="0" collapsed="false">
      <c r="G79" s="0" t="s">
        <v>38</v>
      </c>
      <c r="J79" s="14" t="n">
        <v>22338.31</v>
      </c>
    </row>
    <row r="80" customFormat="false" ht="15" hidden="false" customHeight="false" outlineLevel="0" collapsed="false">
      <c r="G80" s="0" t="s">
        <v>39</v>
      </c>
      <c r="J80" s="14" t="n">
        <v>16252.96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72027.41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28000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76300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113</v>
      </c>
      <c r="E106" s="14" t="n">
        <v>26103.05</v>
      </c>
    </row>
    <row r="107" customFormat="false" ht="15" hidden="false" customHeight="false" outlineLevel="0" collapsed="false">
      <c r="B107" s="0" t="s">
        <v>114</v>
      </c>
      <c r="E107" s="14" t="n">
        <v>19094.38</v>
      </c>
    </row>
    <row r="108" customFormat="false" ht="15" hidden="false" customHeight="false" outlineLevel="0" collapsed="false">
      <c r="B108" s="0" t="s">
        <v>115</v>
      </c>
      <c r="E108" s="14" t="n">
        <v>31094.41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76291.84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TIROL</v>
      </c>
      <c r="G136" s="15" t="s">
        <v>54</v>
      </c>
      <c r="J136" s="8" t="n">
        <v>440271.03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30739000</v>
      </c>
      <c r="G137" s="15" t="s">
        <v>56</v>
      </c>
      <c r="J137" s="8" t="n">
        <v>435909.97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legal</v>
      </c>
      <c r="G138" s="15" t="s">
        <v>57</v>
      </c>
      <c r="J138" s="10" t="n">
        <f aca="false">J137-J136</f>
        <v>-4361.06000000006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46204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0.0239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0.014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0.0824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0.0445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1367885.5</v>
      </c>
      <c r="E145" s="18" t="n">
        <f aca="false">D145/$D$137</f>
        <v>0.0445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72027.41</v>
      </c>
      <c r="E149" s="18" t="n">
        <f aca="false">D149/$D$137</f>
        <v>0.00234319301213442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76300</v>
      </c>
      <c r="E150" s="18" t="n">
        <f aca="false">D150/$D$137</f>
        <v>0.00248218875044731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76291.84</v>
      </c>
      <c r="E152" s="18" t="n">
        <f aca="false">D152/$D$137</f>
        <v>0.00248192328963206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1355462.71</v>
      </c>
      <c r="E153" s="18" t="n">
        <f aca="false">D153/$D$137</f>
        <v>0.0440958622596701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84458.3599999999</v>
      </c>
      <c r="E155" s="19" t="n">
        <f aca="false">D155/D137</f>
        <v>0.00274759621327954</v>
      </c>
    </row>
    <row r="156" customFormat="false" ht="15" hidden="false" customHeight="false" outlineLevel="0" collapsed="false">
      <c r="C156" s="0" t="s">
        <v>79</v>
      </c>
      <c r="D156" s="10" t="n">
        <f aca="false">JUN26!D155</f>
        <v>80945.57</v>
      </c>
      <c r="E156" s="17" t="n">
        <f aca="false">JUN26!E155</f>
        <v>0.00264397535856489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46235</v>
      </c>
    </row>
    <row r="28" customFormat="false" ht="15" hidden="false" customHeight="false" outlineLevel="0" collapsed="false">
      <c r="B28" s="0" t="s">
        <v>14</v>
      </c>
      <c r="J28" s="8" t="n">
        <v>30862900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0.0273</v>
      </c>
    </row>
    <row r="33" customFormat="false" ht="15" hidden="false" customHeight="false" outlineLevel="0" collapsed="false">
      <c r="B33" s="0" t="s">
        <v>18</v>
      </c>
      <c r="F33" s="9" t="n">
        <v>0.0305</v>
      </c>
    </row>
    <row r="35" customFormat="false" ht="15" hidden="false" customHeight="false" outlineLevel="0" collapsed="false">
      <c r="B35" s="0" t="s">
        <v>19</v>
      </c>
      <c r="F35" s="9" t="n">
        <v>0.1097</v>
      </c>
    </row>
    <row r="37" customFormat="false" ht="15" hidden="false" customHeight="false" outlineLevel="0" collapsed="false">
      <c r="B37" s="0" t="s">
        <v>20</v>
      </c>
      <c r="F37" s="9" t="n">
        <v>0.075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2314717.5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124014.79</v>
      </c>
    </row>
    <row r="49" customFormat="false" ht="15" hidden="false" customHeight="false" outlineLevel="0" collapsed="false">
      <c r="B49" s="0" t="s">
        <v>26</v>
      </c>
      <c r="F49" s="10" t="n">
        <f aca="false">E102</f>
        <v>76300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222069.64</v>
      </c>
    </row>
    <row r="55" customFormat="false" ht="15" hidden="false" customHeight="false" outlineLevel="0" collapsed="false">
      <c r="B55" s="0" t="s">
        <v>29</v>
      </c>
      <c r="F55" s="8" t="n">
        <v>2200572.26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2200572.26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116</v>
      </c>
      <c r="J78" s="14" t="n">
        <v>33997.89</v>
      </c>
    </row>
    <row r="79" customFormat="false" ht="15" hidden="false" customHeight="false" outlineLevel="0" collapsed="false">
      <c r="G79" s="0" t="s">
        <v>38</v>
      </c>
      <c r="J79" s="14" t="n">
        <v>45101.03</v>
      </c>
    </row>
    <row r="80" customFormat="false" ht="15" hidden="false" customHeight="false" outlineLevel="0" collapsed="false">
      <c r="G80" s="0" t="s">
        <v>117</v>
      </c>
      <c r="J80" s="14" t="n">
        <v>44915.87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124014.79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28000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76300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118</v>
      </c>
      <c r="E106" s="14" t="n">
        <v>75849</v>
      </c>
    </row>
    <row r="107" customFormat="false" ht="15" hidden="false" customHeight="false" outlineLevel="0" collapsed="false">
      <c r="B107" s="0" t="s">
        <v>119</v>
      </c>
      <c r="E107" s="14" t="n">
        <v>69600.44</v>
      </c>
    </row>
    <row r="108" customFormat="false" ht="15" hidden="false" customHeight="false" outlineLevel="0" collapsed="false">
      <c r="B108" s="0" t="s">
        <v>120</v>
      </c>
      <c r="E108" s="14" t="n">
        <v>76620.2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222069.64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TIROL</v>
      </c>
      <c r="G136" s="15" t="s">
        <v>54</v>
      </c>
      <c r="J136" s="8" t="n">
        <v>813355.99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30862900</v>
      </c>
      <c r="G137" s="15" t="s">
        <v>56</v>
      </c>
      <c r="J137" s="8" t="n">
        <v>845109.55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legal</v>
      </c>
      <c r="G138" s="15" t="s">
        <v>57</v>
      </c>
      <c r="J138" s="10" t="n">
        <f aca="false">J137-J136</f>
        <v>31753.5600000001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46235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0.0273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0.0305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0.1097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0.075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2314717.5</v>
      </c>
      <c r="E145" s="18" t="n">
        <f aca="false">D145/$D$137</f>
        <v>0.075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124014.79</v>
      </c>
      <c r="E149" s="18" t="n">
        <f aca="false">D149/$D$137</f>
        <v>0.0040182481231511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76300</v>
      </c>
      <c r="E150" s="18" t="n">
        <f aca="false">D150/$D$137</f>
        <v>0.00247222393229411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222069.64</v>
      </c>
      <c r="E152" s="18" t="n">
        <f aca="false">D152/$D$137</f>
        <v>0.00719535882888517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2200572.26</v>
      </c>
      <c r="E153" s="18" t="n">
        <f aca="false">D153/$D$137</f>
        <v>0.0713015387406887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92390.3900000001</v>
      </c>
      <c r="E155" s="19" t="n">
        <f aca="false">D155/D137</f>
        <v>0.00299357448587139</v>
      </c>
    </row>
    <row r="156" customFormat="false" ht="15" hidden="false" customHeight="false" outlineLevel="0" collapsed="false">
      <c r="C156" s="0" t="s">
        <v>79</v>
      </c>
      <c r="D156" s="10" t="n">
        <f aca="false">JUL26!D155</f>
        <v>84458.3599999999</v>
      </c>
      <c r="E156" s="17" t="n">
        <f aca="false">JUL26!E155</f>
        <v>0.00274759621327954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46266</v>
      </c>
    </row>
    <row r="28" customFormat="false" ht="15" hidden="false" customHeight="false" outlineLevel="0" collapsed="false">
      <c r="B28" s="0" t="s">
        <v>14</v>
      </c>
      <c r="J28" s="8" t="n">
        <v>30986800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0.0303</v>
      </c>
    </row>
    <row r="33" customFormat="false" ht="15" hidden="false" customHeight="false" outlineLevel="0" collapsed="false">
      <c r="B33" s="0" t="s">
        <v>18</v>
      </c>
      <c r="F33" s="9" t="n">
        <v>0.0345</v>
      </c>
    </row>
    <row r="35" customFormat="false" ht="15" hidden="false" customHeight="false" outlineLevel="0" collapsed="false">
      <c r="B35" s="0" t="s">
        <v>19</v>
      </c>
      <c r="F35" s="9" t="n">
        <v>0.14</v>
      </c>
    </row>
    <row r="37" customFormat="false" ht="15" hidden="false" customHeight="false" outlineLevel="0" collapsed="false">
      <c r="B37" s="0" t="s">
        <v>20</v>
      </c>
      <c r="F37" s="9" t="n">
        <v>0.1095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3393054.6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160077.95</v>
      </c>
    </row>
    <row r="49" customFormat="false" ht="15" hidden="false" customHeight="false" outlineLevel="0" collapsed="false">
      <c r="B49" s="0" t="s">
        <v>26</v>
      </c>
      <c r="F49" s="10" t="n">
        <f aca="false">E102</f>
        <v>76300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184188.73</v>
      </c>
    </row>
    <row r="55" customFormat="false" ht="15" hidden="false" customHeight="false" outlineLevel="0" collapsed="false">
      <c r="B55" s="0" t="s">
        <v>29</v>
      </c>
      <c r="F55" s="8" t="n">
        <v>3342014.82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3342014.82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116</v>
      </c>
      <c r="J78" s="14" t="n">
        <v>60155.18</v>
      </c>
    </row>
    <row r="79" customFormat="false" ht="15" hidden="false" customHeight="false" outlineLevel="0" collapsed="false">
      <c r="G79" s="0" t="s">
        <v>38</v>
      </c>
      <c r="J79" s="14" t="n">
        <v>50861.87</v>
      </c>
    </row>
    <row r="80" customFormat="false" ht="15" hidden="false" customHeight="false" outlineLevel="0" collapsed="false">
      <c r="G80" s="0" t="s">
        <v>117</v>
      </c>
      <c r="J80" s="14" t="n">
        <v>49060.9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160077.95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28000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76300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121</v>
      </c>
      <c r="E106" s="14" t="n">
        <v>69346.47</v>
      </c>
    </row>
    <row r="107" customFormat="false" ht="15" hidden="false" customHeight="false" outlineLevel="0" collapsed="false">
      <c r="B107" s="0" t="s">
        <v>122</v>
      </c>
      <c r="E107" s="14" t="n">
        <v>57595.99</v>
      </c>
    </row>
    <row r="108" customFormat="false" ht="15" hidden="false" customHeight="false" outlineLevel="0" collapsed="false">
      <c r="B108" s="0" t="s">
        <v>123</v>
      </c>
      <c r="E108" s="14" t="n">
        <v>57246.27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184188.73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TIROL</v>
      </c>
      <c r="G136" s="15" t="s">
        <v>54</v>
      </c>
      <c r="J136" s="8" t="n">
        <v>1106074.75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30986800</v>
      </c>
      <c r="G137" s="15" t="s">
        <v>56</v>
      </c>
      <c r="J137" s="8" t="n">
        <v>1141442.56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legal</v>
      </c>
      <c r="G138" s="15" t="s">
        <v>57</v>
      </c>
      <c r="J138" s="10" t="n">
        <f aca="false">J137-J136</f>
        <v>35367.8100000001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46266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0.0303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0.0345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0.14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0.1095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3393054.6</v>
      </c>
      <c r="E145" s="18" t="n">
        <f aca="false">D145/$D$137</f>
        <v>0.1095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160077.95</v>
      </c>
      <c r="E149" s="18" t="n">
        <f aca="false">D149/$D$137</f>
        <v>0.00516600455677902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76300</v>
      </c>
      <c r="E150" s="18" t="n">
        <f aca="false">D150/$D$137</f>
        <v>0.00246233880232873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184188.73</v>
      </c>
      <c r="E152" s="18" t="n">
        <f aca="false">D152/$D$137</f>
        <v>0.00594410297287877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3342014.82</v>
      </c>
      <c r="E153" s="18" t="n">
        <f aca="false">D153/$D$137</f>
        <v>0.107852854118528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103229</v>
      </c>
      <c r="E155" s="19" t="n">
        <f aca="false">D155/D137</f>
        <v>0.0033313862677011</v>
      </c>
    </row>
    <row r="156" customFormat="false" ht="15" hidden="false" customHeight="false" outlineLevel="0" collapsed="false">
      <c r="C156" s="0" t="s">
        <v>79</v>
      </c>
      <c r="D156" s="10" t="n">
        <f aca="false">AGO26!D155</f>
        <v>92390.3900000001</v>
      </c>
      <c r="E156" s="17" t="n">
        <f aca="false">AGO26!E155</f>
        <v>0.00299357448587139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2026-10-28T18:38:10Z</dcterms:created>
  <dc:creator>openpyxl</dc:creator>
  <dc:description/>
  <dc:language>en-US</dc:language>
  <cp:lastModifiedBy/>
  <dcterms:modified xsi:type="dcterms:W3CDTF">2026-10-28T18:38:10Z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