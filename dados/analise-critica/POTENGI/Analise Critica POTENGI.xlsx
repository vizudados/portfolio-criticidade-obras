
<file path=[Content_Types].xml><?xml version="1.0" encoding="utf-8"?>
<Types xmlns="http://schemas.openxmlformats.org/package/2006/content-types">
  <Default Extension="xml" ContentType="application/xml"/>
  <Default Extension="rels" ContentType="application/vnd.openxmlformats-package.relationships+xml"/>
  <Default Extension="png" ContentType="image/png"/>
  <Default Extension="jpeg" ContentType="image/jpeg"/>
  <Override PartName="/xl/_rels/workbook.xml.rels" ContentType="application/vnd.openxmlformats-package.relationships+xml"/>
  <Override PartName="/xl/workbook.xml" ContentType="application/vnd.openxmlformats-officedocument.spreadsheetml.sheet.main+xml"/>
  <Override PartName="/xl/theme/theme1.xml" ContentType="application/vnd.openxmlformats-officedocument.theme+xml"/>
  <Override PartName="/xl/styles.xml" ContentType="application/vnd.openxmlformats-officedocument.spreadsheetml.styl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12.xml" ContentType="application/vnd.openxmlformats-officedocument.spreadsheetml.worksheet+xml"/>
  <Override PartName="/xl/worksheets/sheet7.xml" ContentType="application/vnd.openxmlformats-officedocument.spreadsheetml.worksheet+xml"/>
  <Override PartName="/xl/worksheets/sheet13.xml" ContentType="application/vnd.openxmlformats-officedocument.spreadsheetml.worksheet+xml"/>
  <Override PartName="/xl/worksheets/sheet8.xml" ContentType="application/vnd.openxmlformats-officedocument.spreadsheetml.worksheet+xml"/>
  <Override PartName="/xl/worksheets/sheet14.xml" ContentType="application/vnd.openxmlformats-officedocument.spreadsheetml.worksheet+xml"/>
  <Override PartName="/xl/worksheets/sheet9.xml" ContentType="application/vnd.openxmlformats-officedocument.spreadsheetml.worksheet+xml"/>
  <Override PartName="/xl/worksheets/sheet5.xml" ContentType="application/vnd.openxmlformats-officedocument.spreadsheetml.worksheet+xml"/>
  <Override PartName="/xl/worksheets/sheet10.xml" ContentType="application/vnd.openxmlformats-officedocument.spreadsheetml.worksheet+xml"/>
  <Override PartName="/xl/worksheets/sheet11.xml" ContentType="application/vnd.openxmlformats-officedocument.spreadsheetml.worksheet+xml"/>
  <Override PartName="/xl/worksheets/sheet6.xml" ContentType="application/vnd.openxmlformats-officedocument.spreadsheetml.worksheet+xml"/>
  <Override PartName="/xl/sharedStrings.xml" ContentType="application/vnd.openxmlformats-officedocument.spreadsheetml.sharedStrings+xml"/>
  <Override PartName="/_rels/.rels" ContentType="application/vnd.openxmlformats-package.relationships+xml"/>
  <Override PartName="/docProps/core.xml" ContentType="application/vnd.openxmlformats-package.core-properties+xml"/>
  <Override PartName="/docProps/app.xml" ContentType="application/vnd.openxmlformats-officedocument.extended-properties+xml"/>
  <Override PartName="/docProps/custom.xml" ContentType="application/vnd.openxmlformats-officedocument.custom-properties+xml"/>
</Types>
</file>

<file path=_rels/.rels><?xml version="1.0" encoding="UTF-8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officedocument/2006/relationships/metadata/core-properties" Target="docProps/core.xml"/><Relationship Id="rId3" Type="http://schemas.openxmlformats.org/officeDocument/2006/relationships/extended-properties" Target="docProps/app.xml"/><Relationship Id="rId4" Type="http://schemas.openxmlformats.org/officeDocument/2006/relationships/custom-properties" Target="docProps/custom.xml"/>
</Relationships>
</file>

<file path=xl/workbook.xml><?xml version="1.0" encoding="utf-8"?>
<workbook xmlns="http://schemas.openxmlformats.org/spreadsheetml/2006/main" xmlns:r="http://schemas.openxmlformats.org/officeDocument/2006/relationships">
  <fileVersion appName="Calc"/>
  <workbookPr backupFile="false" showObjects="all" dateCompatibility="false"/>
  <workbookProtection/>
  <bookViews>
    <workbookView showHorizontalScroll="true" showVerticalScroll="true" showSheetTabs="true" xWindow="0" yWindow="0" windowWidth="16384" windowHeight="8192" tabRatio="600" firstSheet="0" activeTab="0"/>
  </bookViews>
  <sheets>
    <sheet name="LEIA-ME" sheetId="1" state="visible" r:id="rId3"/>
    <sheet name="SET25" sheetId="2" state="visible" r:id="rId4"/>
    <sheet name="OUT25" sheetId="3" state="visible" r:id="rId5"/>
    <sheet name="NOV25" sheetId="4" state="visible" r:id="rId6"/>
    <sheet name="DEZ25" sheetId="5" state="visible" r:id="rId7"/>
    <sheet name="JAN26" sheetId="6" state="visible" r:id="rId8"/>
    <sheet name="FEV26" sheetId="7" state="visible" r:id="rId9"/>
    <sheet name="MAR26" sheetId="8" state="visible" r:id="rId10"/>
    <sheet name="ABR26" sheetId="9" state="visible" r:id="rId11"/>
    <sheet name="MAI26" sheetId="10" state="visible" r:id="rId12"/>
    <sheet name="JUN26" sheetId="11" state="visible" r:id="rId13"/>
    <sheet name="JUL26" sheetId="12" state="visible" r:id="rId14"/>
    <sheet name="AGO26" sheetId="13" state="visible" r:id="rId15"/>
    <sheet name="SET26" sheetId="14" state="visible" r:id="rId16"/>
  </sheets>
  <definedNames>
    <definedName function="false" hidden="false" localSheetId="8" name="_xlnm.Print_Area" vbProcedure="false">ABR26!$A$132:$J$157</definedName>
    <definedName function="false" hidden="false" localSheetId="12" name="_xlnm.Print_Area" vbProcedure="false">AGO26!$A$132:$J$157</definedName>
    <definedName function="false" hidden="false" localSheetId="4" name="_xlnm.Print_Area" vbProcedure="false">DEZ25!$A$132:$J$157</definedName>
    <definedName function="false" hidden="false" localSheetId="6" name="_xlnm.Print_Area" vbProcedure="false">FEV26!$A$132:$J$157</definedName>
    <definedName function="false" hidden="false" localSheetId="5" name="_xlnm.Print_Area" vbProcedure="false">JAN26!$A$132:$J$157</definedName>
    <definedName function="false" hidden="false" localSheetId="11" name="_xlnm.Print_Area" vbProcedure="false">JUL26!$A$132:$J$157</definedName>
    <definedName function="false" hidden="false" localSheetId="10" name="_xlnm.Print_Area" vbProcedure="false">JUN26!$A$132:$J$157</definedName>
    <definedName function="false" hidden="false" localSheetId="9" name="_xlnm.Print_Area" vbProcedure="false">MAI26!$A$132:$J$157</definedName>
    <definedName function="false" hidden="false" localSheetId="7" name="_xlnm.Print_Area" vbProcedure="false">MAR26!$A$132:$J$157</definedName>
    <definedName function="false" hidden="false" localSheetId="3" name="_xlnm.Print_Area" vbProcedure="false">NOV25!$A$132:$J$157</definedName>
    <definedName function="false" hidden="false" localSheetId="2" name="_xlnm.Print_Area" vbProcedure="false">OUT25!$A$132:$J$157</definedName>
    <definedName function="false" hidden="false" localSheetId="1" name="_xlnm.Print_Area" vbProcedure="false">SET25!$A$132:$J$157</definedName>
    <definedName function="false" hidden="false" localSheetId="13" name="_xlnm.Print_Area" vbProcedure="false">SET26!$A$132:$J$157</definedName>
  </definedNames>
  <calcPr iterateCount="100" refMode="A1" iterate="false" iterateDelta="0.0001"/>
  <extLst>
    <ext xmlns:loext="http://schemas.libreoffice.org/" uri="{7626C862-2A13-11E5-B345-FEFF819CDC9F}">
      <loext:extCalcPr stringRefSyntax="ExcelA1"/>
    </ext>
  </extLst>
</workbook>
</file>

<file path=xl/sharedStrings.xml><?xml version="1.0" encoding="utf-8"?>
<sst xmlns="http://schemas.openxmlformats.org/spreadsheetml/2006/main" count="1491" uniqueCount="158">
  <si>
    <t xml:space="preserve">Análise Crítica · POTENGI</t>
  </si>
  <si>
    <t xml:space="preserve">Dados fictícios: construtora inventada de Natal/RN, portfólio Vizu Dados.</t>
  </si>
  <si>
    <t xml:space="preserve">Uma aba por mês (MMMAA). Os campos são lidos pelo rótulo da coluna B.</t>
  </si>
  <si>
    <t xml:space="preserve">Versão 01 da planilha: a dívida da obra (item 10) desconta do resultado.</t>
  </si>
  <si>
    <t xml:space="preserve">ANÁLISE DE DESEMPENHO ECONÔMICO DA OBRA</t>
  </si>
  <si>
    <t xml:space="preserve">Construtora fictícia de Natal/RN · portfólio Vizu Dados · dados inventados</t>
  </si>
  <si>
    <t xml:space="preserve">Versão 01 · revisão de 01/09/2025: a dívida da obra passa a descontar do resultado</t>
  </si>
  <si>
    <t xml:space="preserve">Célula editável</t>
  </si>
  <si>
    <t xml:space="preserve">Resultado (não editar)</t>
  </si>
  <si>
    <t xml:space="preserve">Tabela anexada</t>
  </si>
  <si>
    <t xml:space="preserve">% relacionada</t>
  </si>
  <si>
    <t xml:space="preserve">1º passo: Projeto (definir o empreendimento)</t>
  </si>
  <si>
    <t xml:space="preserve">POTENGI</t>
  </si>
  <si>
    <t xml:space="preserve">2º passo: Mês de análise (definir o mês de referência)</t>
  </si>
  <si>
    <t xml:space="preserve">3º passo: Orçamento da obra projetado (com INCC no a realizar)</t>
  </si>
  <si>
    <t xml:space="preserve">Tipo do orçamento</t>
  </si>
  <si>
    <t xml:space="preserve">Orçamento executivo</t>
  </si>
  <si>
    <t xml:space="preserve">4º passo: Previsto do mês (incluir o % do cronograma)</t>
  </si>
  <si>
    <t xml:space="preserve">5º passo: Executado do mês (incluir o % medido)</t>
  </si>
  <si>
    <t xml:space="preserve">6º passo: Previsto acumulado do mês</t>
  </si>
  <si>
    <t xml:space="preserve">7º passo: Executado acumulado do mês</t>
  </si>
  <si>
    <t xml:space="preserve">8º passo: Crédito do orçamento (executado acumulado × orçamento)</t>
  </si>
  <si>
    <t xml:space="preserve">8º passo (cont.): Saldo de contrato (tabela)</t>
  </si>
  <si>
    <t xml:space="preserve">9º passo: Adiantamento de serviços não medidos (tabela)</t>
  </si>
  <si>
    <t xml:space="preserve">10º passo: Adiantamento de materiais não estocados (tabela)</t>
  </si>
  <si>
    <t xml:space="preserve">11º passo: Estoque de materiais (almoxarifado)</t>
  </si>
  <si>
    <t xml:space="preserve">12º passo: Equipamentos comprados (valor de mercado)</t>
  </si>
  <si>
    <t xml:space="preserve">13º passo: Receitas de personalizações (tabela)</t>
  </si>
  <si>
    <t xml:space="preserve">14º passo: Contas a pagar dos medidos (relatório a pagar)</t>
  </si>
  <si>
    <t xml:space="preserve">15º passo: Valor desembolsado pela obra (relatório conferido)</t>
  </si>
  <si>
    <t xml:space="preserve">Valor corrigido (sem os itens apontados irregularmente)</t>
  </si>
  <si>
    <t xml:space="preserve">16º passo: Dívida da obra a ser paga (outra obra da carteira)</t>
  </si>
  <si>
    <t xml:space="preserve">Saldo de contrato</t>
  </si>
  <si>
    <t xml:space="preserve">Adiantamento de materiais não estocados</t>
  </si>
  <si>
    <t xml:space="preserve">Total</t>
  </si>
  <si>
    <t xml:space="preserve">Adiantamento de serviços não medidos</t>
  </si>
  <si>
    <t xml:space="preserve">Estoque de materiais</t>
  </si>
  <si>
    <t xml:space="preserve">Aço CA-50 para blocos e baldrame</t>
  </si>
  <si>
    <t xml:space="preserve">Cimento e agregados</t>
  </si>
  <si>
    <t xml:space="preserve">Madeira para formas</t>
  </si>
  <si>
    <t xml:space="preserve">Equipamentos comprados</t>
  </si>
  <si>
    <t xml:space="preserve">Receitas de personalizações</t>
  </si>
  <si>
    <t xml:space="preserve">Betoneira 400 L</t>
  </si>
  <si>
    <t xml:space="preserve">Guincho de coluna</t>
  </si>
  <si>
    <t xml:space="preserve">Compactador de solo</t>
  </si>
  <si>
    <t xml:space="preserve">Contas a pagar dos medidos</t>
  </si>
  <si>
    <t xml:space="preserve">Itens apontados irregularmente no relatório</t>
  </si>
  <si>
    <t xml:space="preserve">Medição de fundação (estacas hélice) · NF 18392</t>
  </si>
  <si>
    <t xml:space="preserve">Concreto usinado dos blocos · NF 75535</t>
  </si>
  <si>
    <t xml:space="preserve">Encargos e INSS do mês · NF 13201</t>
  </si>
  <si>
    <t xml:space="preserve">Dívida da obra a ser paga</t>
  </si>
  <si>
    <t xml:space="preserve">RESULTADO PARA UTILIZAR NA APRESENTAÇÃO</t>
  </si>
  <si>
    <t xml:space="preserve">Tabela informativa do desembolso do mês</t>
  </si>
  <si>
    <t xml:space="preserve">Projeto</t>
  </si>
  <si>
    <t xml:space="preserve">Valor previsto para o mês</t>
  </si>
  <si>
    <t xml:space="preserve">Orçamento</t>
  </si>
  <si>
    <t xml:space="preserve">Valor desembolsado no mês</t>
  </si>
  <si>
    <t xml:space="preserve">Diferença entre o previsto e o desembolsado</t>
  </si>
  <si>
    <t xml:space="preserve">Mês</t>
  </si>
  <si>
    <t xml:space="preserve">Justificativa para diferença acima de 10% (obrigatória)</t>
  </si>
  <si>
    <t xml:space="preserve">% previsto do mês</t>
  </si>
  <si>
    <t xml:space="preserve">% executado do mês</t>
  </si>
  <si>
    <t xml:space="preserve">% previsto acumulado</t>
  </si>
  <si>
    <t xml:space="preserve">% executado acumulado</t>
  </si>
  <si>
    <t xml:space="preserve">01</t>
  </si>
  <si>
    <t xml:space="preserve">Crédito do orçamento</t>
  </si>
  <si>
    <t xml:space="preserve">02</t>
  </si>
  <si>
    <t xml:space="preserve">03</t>
  </si>
  <si>
    <t xml:space="preserve">04</t>
  </si>
  <si>
    <t xml:space="preserve">05</t>
  </si>
  <si>
    <t xml:space="preserve">06</t>
  </si>
  <si>
    <t xml:space="preserve">Equipamentos (valor de mercado)</t>
  </si>
  <si>
    <t xml:space="preserve">07</t>
  </si>
  <si>
    <t xml:space="preserve">Receita de personalizações</t>
  </si>
  <si>
    <t xml:space="preserve">08</t>
  </si>
  <si>
    <t xml:space="preserve">09</t>
  </si>
  <si>
    <t xml:space="preserve">Valor desembolsado (corrigido)</t>
  </si>
  <si>
    <t xml:space="preserve">10</t>
  </si>
  <si>
    <t xml:space="preserve">Resultado mensal da obra</t>
  </si>
  <si>
    <t xml:space="preserve">Resultado do mês anterior</t>
  </si>
  <si>
    <t xml:space="preserve">Significado de cada item</t>
  </si>
  <si>
    <t xml:space="preserve">Crédito do orçamento:</t>
  </si>
  <si>
    <t xml:space="preserve">Quanto a obra podia ter gasto pelo que executou: orçamento × executado acumulado.</t>
  </si>
  <si>
    <t xml:space="preserve">Saldo de contrato:</t>
  </si>
  <si>
    <t xml:space="preserve">Desconto obtido num contrato e ainda não realizado; abatido à medida que o serviço é medido.</t>
  </si>
  <si>
    <t xml:space="preserve">Adiantamento de serviços não medidos:</t>
  </si>
  <si>
    <t xml:space="preserve">Sinal pago de contrato ainda não medido (ex.: elevadores).</t>
  </si>
  <si>
    <t xml:space="preserve">Adiantamento de materiais não estocados:</t>
  </si>
  <si>
    <t xml:space="preserve">Material pago que ainda não chegou à obra (ex.: esquadrias).</t>
  </si>
  <si>
    <t xml:space="preserve">Estoque de materiais:</t>
  </si>
  <si>
    <t xml:space="preserve">Material no almoxarifado, ainda não aplicado, informado pelo almoxarife.</t>
  </si>
  <si>
    <t xml:space="preserve">Equipamentos (valor de mercado):</t>
  </si>
  <si>
    <t xml:space="preserve">Equipamento comprado pela obra e reaproveitável no fim, pelo valor de mercado.</t>
  </si>
  <si>
    <t xml:space="preserve">Receita de personalizações:</t>
  </si>
  <si>
    <t xml:space="preserve">Personalizações pagas pelos clientes, acumuladas até o fim da obra.</t>
  </si>
  <si>
    <t xml:space="preserve">Contas a pagar dos medidos:</t>
  </si>
  <si>
    <t xml:space="preserve">Serviço já medido e ainda a pagar (relatório de contas a pagar).</t>
  </si>
  <si>
    <t xml:space="preserve">Valor desembolsado pela obra:</t>
  </si>
  <si>
    <t xml:space="preserve">Desembolso acumulado desde o início, conferido e sem os itens apontados na obra errada.</t>
  </si>
  <si>
    <t xml:space="preserve">Dívida da obra a ser paga:</t>
  </si>
  <si>
    <t xml:space="preserve">Material de outra obra da carteira usado nesta: custo da obra, desconta do resultado (versão 01 da planilha).</t>
  </si>
  <si>
    <t xml:space="preserve">Medição de fundação (estacas hélice) · NF 24209</t>
  </si>
  <si>
    <t xml:space="preserve">Concreto usinado dos blocos · NF 18495</t>
  </si>
  <si>
    <t xml:space="preserve">Encargos e INSS do mês · NF 50166</t>
  </si>
  <si>
    <t xml:space="preserve">Aço CA-50/60 para lajes</t>
  </si>
  <si>
    <t xml:space="preserve">Formas e escoramento</t>
  </si>
  <si>
    <t xml:space="preserve">Blocos cerâmicos</t>
  </si>
  <si>
    <t xml:space="preserve">Material hidrossanitário</t>
  </si>
  <si>
    <t xml:space="preserve">Medição da empreiteira de estrutura · NF 97455</t>
  </si>
  <si>
    <t xml:space="preserve">Concreto usinado da laje · NF 37475</t>
  </si>
  <si>
    <t xml:space="preserve">Aluguel de escoramento · NF 3157</t>
  </si>
  <si>
    <t xml:space="preserve">Encargos e INSS do mês · NF 88715</t>
  </si>
  <si>
    <t xml:space="preserve">Medição da empreiteira de estrutura · NF 95364</t>
  </si>
  <si>
    <t xml:space="preserve">NF 30914 · lançada na POTENGI, é da REDINHA</t>
  </si>
  <si>
    <t xml:space="preserve">Concreto usinado da laje · NF 26350</t>
  </si>
  <si>
    <t xml:space="preserve">Aluguel de escoramento · NF 42763</t>
  </si>
  <si>
    <t xml:space="preserve">Encargos e INSS do mês · NF 13868</t>
  </si>
  <si>
    <t xml:space="preserve">Medição da empreiteira de estrutura · NF 97938</t>
  </si>
  <si>
    <t xml:space="preserve">Concreto usinado da laje · NF 55608</t>
  </si>
  <si>
    <t xml:space="preserve">Aluguel de escoramento · NF 1641</t>
  </si>
  <si>
    <t xml:space="preserve">Encargos e INSS do mês · NF 80408</t>
  </si>
  <si>
    <t xml:space="preserve">Medição da empreiteira de estrutura · NF 26903</t>
  </si>
  <si>
    <t xml:space="preserve">Concreto usinado da laje · NF 36113</t>
  </si>
  <si>
    <t xml:space="preserve">Aluguel de escoramento · NF 62965</t>
  </si>
  <si>
    <t xml:space="preserve">Encargos e INSS do mês · NF 37776</t>
  </si>
  <si>
    <t xml:space="preserve">Medição da empreiteira de estrutura · NF 17139</t>
  </si>
  <si>
    <t xml:space="preserve">Concreto usinado da laje · NF 48966</t>
  </si>
  <si>
    <t xml:space="preserve">Aluguel de escoramento · NF 94767</t>
  </si>
  <si>
    <t xml:space="preserve">Encargos e INSS do mês · NF 1519</t>
  </si>
  <si>
    <t xml:space="preserve">Concretagem adiada por chuva; pagamento passa para o mês seguinte.</t>
  </si>
  <si>
    <t xml:space="preserve">Medição da empreiteira de estrutura · NF 35623</t>
  </si>
  <si>
    <t xml:space="preserve">Concreto usinado da laje · NF 36881</t>
  </si>
  <si>
    <t xml:space="preserve">Aluguel de escoramento · NF 92416</t>
  </si>
  <si>
    <t xml:space="preserve">Encargos e INSS do mês · NF 40434</t>
  </si>
  <si>
    <t xml:space="preserve">Medição da empreiteira de estrutura · NF 14027</t>
  </si>
  <si>
    <t xml:space="preserve">Concreto usinado da laje · NF 72179</t>
  </si>
  <si>
    <t xml:space="preserve">Aluguel de escoramento · NF 69049</t>
  </si>
  <si>
    <t xml:space="preserve">Encargos e INSS do mês · NF 57935</t>
  </si>
  <si>
    <t xml:space="preserve">Medição da empreiteira de estrutura · NF 61197</t>
  </si>
  <si>
    <t xml:space="preserve">Concreto usinado da laje · NF 47861</t>
  </si>
  <si>
    <t xml:space="preserve">Aluguel de escoramento · NF 53649</t>
  </si>
  <si>
    <t xml:space="preserve">Encargos e INSS do mês · NF 11465</t>
  </si>
  <si>
    <t xml:space="preserve">Argamassa industrializada</t>
  </si>
  <si>
    <t xml:space="preserve">Material elétrico (fios e cabos)</t>
  </si>
  <si>
    <t xml:space="preserve">Revestimento cerâmico (compra antecipada)</t>
  </si>
  <si>
    <t xml:space="preserve">Medição da empreiteira de alvenaria · NF 50193</t>
  </si>
  <si>
    <t xml:space="preserve">Medição de instalações hidráulicas · NF 68670</t>
  </si>
  <si>
    <t xml:space="preserve">Medição de instalações elétricas · NF 44045</t>
  </si>
  <si>
    <t xml:space="preserve">Encargos e INSS do mês · NF 44970</t>
  </si>
  <si>
    <t xml:space="preserve">Medição da empreiteira de alvenaria · NF 30452</t>
  </si>
  <si>
    <t xml:space="preserve">Medição de instalações hidráulicas · NF 38375</t>
  </si>
  <si>
    <t xml:space="preserve">Medição de instalações elétricas · NF 72128</t>
  </si>
  <si>
    <t xml:space="preserve">Encargos e INSS do mês · NF 92702</t>
  </si>
  <si>
    <t xml:space="preserve">Entrega de material remarcada pelo fornecedor.</t>
  </si>
  <si>
    <t xml:space="preserve">Medição da empreiteira de alvenaria · NF 22169</t>
  </si>
  <si>
    <t xml:space="preserve">Medição de instalações hidráulicas · NF 55011</t>
  </si>
  <si>
    <t xml:space="preserve">Medição de instalações elétricas · NF 19433</t>
  </si>
  <si>
    <t xml:space="preserve">Encargos e INSS do mês · NF 77813</t>
  </si>
</sst>
</file>

<file path=xl/styles.xml><?xml version="1.0" encoding="utf-8"?>
<styleSheet xmlns="http://schemas.openxmlformats.org/spreadsheetml/2006/main">
  <numFmts count="3">
    <numFmt numFmtId="164" formatCode="General"/>
    <numFmt numFmtId="166" formatCode="#,##0.00;[RED]\-#,##0.00"/>
    <numFmt numFmtId="167" formatCode="0.00%"/>
  </numFmts>
  <fonts count="7">
    <font>
      <sz val="11"/>
      <color theme="1"/>
      <name val="Calibri"/>
      <family val="2"/>
      <charset val="1"/>
    </font>
    <font>
      <sz val="10"/>
      <name val="Arial"/>
      <family val="0"/>
    </font>
    <font>
      <sz val="10"/>
      <name val="Arial"/>
      <family val="0"/>
    </font>
    <font>
      <sz val="10"/>
      <name val="Arial"/>
      <family val="0"/>
    </font>
    <font>
      <b val="true"/>
      <sz val="14"/>
      <name val="Cambria"/>
      <family val="0"/>
      <charset val="1"/>
    </font>
    <font>
      <sz val="11"/>
      <name val="Cambria"/>
      <family val="0"/>
      <charset val="1"/>
    </font>
    <font>
      <b val="true"/>
      <sz val="11"/>
      <name val="Cambria"/>
      <family val="0"/>
      <charset val="1"/>
    </font>
  </fonts>
  <fills count="6">
    <fill>
      <patternFill patternType="none"/>
    </fill>
    <fill>
      <patternFill patternType="gray125"/>
    </fill>
    <fill>
      <patternFill patternType="solid">
        <fgColor rgb="FFC6EFCE"/>
        <bgColor rgb="FFDDEBF7"/>
      </patternFill>
    </fill>
    <fill>
      <patternFill patternType="solid">
        <fgColor rgb="FFFFE699"/>
        <bgColor rgb="FFFFCC99"/>
      </patternFill>
    </fill>
    <fill>
      <patternFill patternType="solid">
        <fgColor rgb="FFDDEBF7"/>
        <bgColor rgb="FFCCFFFF"/>
      </patternFill>
    </fill>
    <fill>
      <patternFill patternType="solid">
        <fgColor rgb="FFFCE4D6"/>
        <bgColor rgb="FFFFE699"/>
      </patternFill>
    </fill>
  </fills>
  <borders count="1">
    <border diagonalUp="false" diagonalDown="false">
      <left/>
      <right/>
      <top/>
      <bottom/>
      <diagonal/>
    </border>
  </borders>
  <cellStyleXfs count="20">
    <xf numFmtId="164" fontId="0" fillId="0" borderId="0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0" fontId="1" fillId="0" borderId="0" applyFont="true" applyBorder="false" applyAlignment="false" applyProtection="false"/>
    <xf numFmtId="0" fontId="1" fillId="0" borderId="0" applyFont="true" applyBorder="false" applyAlignment="false" applyProtection="false"/>
    <xf numFmtId="0" fontId="2" fillId="0" borderId="0" applyFont="true" applyBorder="false" applyAlignment="false" applyProtection="false"/>
    <xf numFmtId="0" fontId="2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43" fontId="1" fillId="0" borderId="0" applyFont="true" applyBorder="false" applyAlignment="false" applyProtection="false"/>
    <xf numFmtId="41" fontId="1" fillId="0" borderId="0" applyFont="true" applyBorder="false" applyAlignment="false" applyProtection="false"/>
    <xf numFmtId="44" fontId="1" fillId="0" borderId="0" applyFont="true" applyBorder="false" applyAlignment="false" applyProtection="false"/>
    <xf numFmtId="42" fontId="1" fillId="0" borderId="0" applyFont="true" applyBorder="false" applyAlignment="false" applyProtection="false"/>
    <xf numFmtId="9" fontId="1" fillId="0" borderId="0" applyFont="true" applyBorder="false" applyAlignment="false" applyProtection="false"/>
  </cellStyleXfs>
  <cellXfs count="21">
    <xf numFmtId="164" fontId="0" fillId="0" borderId="0" xfId="0" applyFont="false" applyBorder="false" applyAlignment="false" applyProtection="false">
      <alignment horizontal="general" vertical="bottom" textRotation="0" wrapText="false" indent="0" shrinkToFit="false"/>
      <protection locked="true" hidden="false"/>
    </xf>
    <xf numFmtId="164" fontId="4" fillId="0" borderId="0" xfId="0" applyFont="true" applyBorder="false" applyAlignment="false" applyProtection="false">
      <alignment horizontal="general" vertical="bottom" textRotation="0" wrapText="false" indent="0" shrinkToFit="false"/>
      <protection locked="true" hidden="false"/>
    </xf>
    <xf numFmtId="164" fontId="5" fillId="0" borderId="0" xfId="0" applyFont="true" applyBorder="false" applyAlignment="false" applyProtection="false">
      <alignment horizontal="general" vertical="bottom" textRotation="0" wrapText="false" indent="0" shrinkToFit="false"/>
      <protection locked="true" hidden="false"/>
    </xf>
    <xf numFmtId="164" fontId="0" fillId="2" borderId="0" xfId="0" applyFont="true" applyBorder="false" applyAlignment="false" applyProtection="false">
      <alignment horizontal="general" vertical="bottom" textRotation="0" wrapText="false" indent="0" shrinkToFit="false"/>
      <protection locked="true" hidden="false"/>
    </xf>
    <xf numFmtId="164" fontId="0" fillId="3" borderId="0" xfId="0" applyFont="true" applyBorder="false" applyAlignment="false" applyProtection="false">
      <alignment horizontal="general" vertical="bottom" textRotation="0" wrapText="false" indent="0" shrinkToFit="false"/>
      <protection locked="true" hidden="false"/>
    </xf>
    <xf numFmtId="164" fontId="0" fillId="4" borderId="0" xfId="0" applyFont="true" applyBorder="false" applyAlignment="false" applyProtection="false">
      <alignment horizontal="general" vertical="bottom" textRotation="0" wrapText="false" indent="0" shrinkToFit="false"/>
      <protection locked="true" hidden="false"/>
    </xf>
    <xf numFmtId="164" fontId="0" fillId="5" borderId="0" xfId="0" applyFont="true" applyBorder="false" applyAlignment="false" applyProtection="false">
      <alignment horizontal="general" vertical="bottom" textRotation="0" wrapText="false" indent="0" shrinkToFit="false"/>
      <protection locked="true" hidden="false"/>
    </xf>
    <xf numFmtId="17" fontId="0" fillId="2" borderId="0" xfId="0" applyFont="false" applyBorder="false" applyAlignment="false" applyProtection="false">
      <alignment horizontal="general" vertical="bottom" textRotation="0" wrapText="false" indent="0" shrinkToFit="false"/>
      <protection locked="true" hidden="false"/>
    </xf>
    <xf numFmtId="166" fontId="0" fillId="2" borderId="0" xfId="0" applyFont="false" applyBorder="false" applyAlignment="false" applyProtection="false">
      <alignment horizontal="general" vertical="bottom" textRotation="0" wrapText="false" indent="0" shrinkToFit="false"/>
      <protection locked="true" hidden="false"/>
    </xf>
    <xf numFmtId="167" fontId="0" fillId="2" borderId="0" xfId="0" applyFont="false" applyBorder="false" applyAlignment="false" applyProtection="false">
      <alignment horizontal="general" vertical="bottom" textRotation="0" wrapText="false" indent="0" shrinkToFit="false"/>
      <protection locked="true" hidden="false"/>
    </xf>
    <xf numFmtId="166" fontId="0" fillId="3" borderId="0" xfId="0" applyFont="false" applyBorder="false" applyAlignment="false" applyProtection="false">
      <alignment horizontal="general" vertical="bottom" textRotation="0" wrapText="false" indent="0" shrinkToFit="false"/>
      <protection locked="true" hidden="false"/>
    </xf>
    <xf numFmtId="164" fontId="6" fillId="4" borderId="0" xfId="0" applyFont="true" applyBorder="false" applyAlignment="false" applyProtection="false">
      <alignment horizontal="general" vertical="bottom" textRotation="0" wrapText="false" indent="0" shrinkToFit="false"/>
      <protection locked="true" hidden="false"/>
    </xf>
    <xf numFmtId="164" fontId="6" fillId="0" borderId="0" xfId="0" applyFont="true" applyBorder="false" applyAlignment="false" applyProtection="false">
      <alignment horizontal="general" vertical="bottom" textRotation="0" wrapText="false" indent="0" shrinkToFit="false"/>
      <protection locked="true" hidden="false"/>
    </xf>
    <xf numFmtId="166" fontId="6" fillId="3" borderId="0" xfId="0" applyFont="true" applyBorder="false" applyAlignment="false" applyProtection="false">
      <alignment horizontal="general" vertical="bottom" textRotation="0" wrapText="false" indent="0" shrinkToFit="false"/>
      <protection locked="true" hidden="false"/>
    </xf>
    <xf numFmtId="166" fontId="0" fillId="0" borderId="0" xfId="0" applyFont="false" applyBorder="false" applyAlignment="false" applyProtection="false">
      <alignment horizontal="general" vertical="bottom" textRotation="0" wrapText="false" indent="0" shrinkToFit="false"/>
      <protection locked="true" hidden="false"/>
    </xf>
    <xf numFmtId="164" fontId="0" fillId="0" borderId="0" xfId="0" applyFont="true" applyBorder="false" applyAlignment="false" applyProtection="false">
      <alignment horizontal="general" vertical="bottom" textRotation="0" wrapText="false" indent="0" shrinkToFit="false"/>
      <protection locked="true" hidden="false"/>
    </xf>
    <xf numFmtId="17" fontId="0" fillId="3" borderId="0" xfId="0" applyFont="false" applyBorder="false" applyAlignment="false" applyProtection="false">
      <alignment horizontal="general" vertical="bottom" textRotation="0" wrapText="false" indent="0" shrinkToFit="false"/>
      <protection locked="true" hidden="false"/>
    </xf>
    <xf numFmtId="167" fontId="0" fillId="3" borderId="0" xfId="0" applyFont="false" applyBorder="false" applyAlignment="false" applyProtection="false">
      <alignment horizontal="general" vertical="bottom" textRotation="0" wrapText="false" indent="0" shrinkToFit="false"/>
      <protection locked="true" hidden="false"/>
    </xf>
    <xf numFmtId="167" fontId="0" fillId="5" borderId="0" xfId="0" applyFont="false" applyBorder="false" applyAlignment="false" applyProtection="false">
      <alignment horizontal="general" vertical="bottom" textRotation="0" wrapText="false" indent="0" shrinkToFit="false"/>
      <protection locked="true" hidden="false"/>
    </xf>
    <xf numFmtId="167" fontId="6" fillId="3" borderId="0" xfId="0" applyFont="true" applyBorder="false" applyAlignment="false" applyProtection="false">
      <alignment horizontal="general" vertical="bottom" textRotation="0" wrapText="false" indent="0" shrinkToFit="false"/>
      <protection locked="true" hidden="false"/>
    </xf>
    <xf numFmtId="164" fontId="0" fillId="2" borderId="0" xfId="0" applyFont="true" applyBorder="false" applyAlignment="true" applyProtection="false">
      <alignment horizontal="general" vertical="bottom" textRotation="0" wrapText="true" indent="0" shrinkToFit="false"/>
      <protection locked="true" hidden="false"/>
    </xf>
  </cellXfs>
  <cellStyles count="6">
    <cellStyle name="Normal" xfId="0" builtinId="0"/>
    <cellStyle name="Comma" xfId="15" builtinId="3"/>
    <cellStyle name="Comma [0]" xfId="16" builtinId="6"/>
    <cellStyle name="Currency" xfId="17" builtinId="4"/>
    <cellStyle name="Currency [0]" xfId="18" builtinId="7"/>
    <cellStyle name="Percent" xfId="19" builtinId="5"/>
  </cellStyles>
  <colors>
    <indexedColors>
      <rgbColor rgb="FF000000"/>
      <rgbColor rgb="FFFFFFFF"/>
      <rgbColor rgb="FFFF0000"/>
      <rgbColor rgb="FF00FF00"/>
      <rgbColor rgb="FF0000FF"/>
      <rgbColor rgb="FFFFFF00"/>
      <rgbColor rgb="FFFF00FF"/>
      <rgbColor rgb="FF00FFFF"/>
      <rgbColor rgb="FF800000"/>
      <rgbColor rgb="FF008000"/>
      <rgbColor rgb="FF000080"/>
      <rgbColor rgb="FF808000"/>
      <rgbColor rgb="FF800080"/>
      <rgbColor rgb="FF008080"/>
      <rgbColor rgb="FFC0C0C0"/>
      <rgbColor rgb="FF808080"/>
      <rgbColor rgb="FF9999FF"/>
      <rgbColor rgb="FF993366"/>
      <rgbColor rgb="FFFCE4D6"/>
      <rgbColor rgb="FFDDEBF7"/>
      <rgbColor rgb="FF660066"/>
      <rgbColor rgb="FFFF8080"/>
      <rgbColor rgb="FF0066CC"/>
      <rgbColor rgb="FFCCCCFF"/>
      <rgbColor rgb="FF000080"/>
      <rgbColor rgb="FFFF00FF"/>
      <rgbColor rgb="FFFFFF00"/>
      <rgbColor rgb="FF00FFFF"/>
      <rgbColor rgb="FF800080"/>
      <rgbColor rgb="FF800000"/>
      <rgbColor rgb="FF008080"/>
      <rgbColor rgb="FF0000FF"/>
      <rgbColor rgb="FF00CCFF"/>
      <rgbColor rgb="FFCCFFFF"/>
      <rgbColor rgb="FFC6EFCE"/>
      <rgbColor rgb="FFFFE699"/>
      <rgbColor rgb="FF99CCFF"/>
      <rgbColor rgb="FFFF99CC"/>
      <rgbColor rgb="FFCC99FF"/>
      <rgbColor rgb="FFFFCC99"/>
      <rgbColor rgb="FF3366FF"/>
      <rgbColor rgb="FF33CCCC"/>
      <rgbColor rgb="FF99CC00"/>
      <rgbColor rgb="FFFFCC00"/>
      <rgbColor rgb="FFFF9900"/>
      <rgbColor rgb="FFFF6600"/>
      <rgbColor rgb="FF666699"/>
      <rgbColor rgb="FF969696"/>
      <rgbColor rgb="FF003366"/>
      <rgbColor rgb="FF339966"/>
      <rgbColor rgb="FF003300"/>
      <rgbColor rgb="FF333300"/>
      <rgbColor rgb="FF993300"/>
      <rgbColor rgb="FF993366"/>
      <rgbColor rgb="FF333399"/>
      <rgbColor rgb="FF333333"/>
    </indexedColors>
  </colors>
</styleSheet>
</file>

<file path=xl/_rels/workbook.xml.rels><?xml version="1.0" encoding="UTF-8"?>
<Relationships xmlns="http://schemas.openxmlformats.org/package/2006/relationships"><Relationship Id="rId1" Type="http://schemas.openxmlformats.org/officeDocument/2006/relationships/theme" Target="theme/theme1.xml"/><Relationship Id="rId2" Type="http://schemas.openxmlformats.org/officeDocument/2006/relationships/styles" Target="styles.xml"/><Relationship Id="rId3" Type="http://schemas.openxmlformats.org/officeDocument/2006/relationships/worksheet" Target="worksheets/sheet1.xml"/><Relationship Id="rId4" Type="http://schemas.openxmlformats.org/officeDocument/2006/relationships/worksheet" Target="worksheets/sheet2.xml"/><Relationship Id="rId5" Type="http://schemas.openxmlformats.org/officeDocument/2006/relationships/worksheet" Target="worksheets/sheet3.xml"/><Relationship Id="rId6" Type="http://schemas.openxmlformats.org/officeDocument/2006/relationships/worksheet" Target="worksheets/sheet4.xml"/><Relationship Id="rId7" Type="http://schemas.openxmlformats.org/officeDocument/2006/relationships/worksheet" Target="worksheets/sheet5.xml"/><Relationship Id="rId8" Type="http://schemas.openxmlformats.org/officeDocument/2006/relationships/worksheet" Target="worksheets/sheet6.xml"/><Relationship Id="rId9" Type="http://schemas.openxmlformats.org/officeDocument/2006/relationships/worksheet" Target="worksheets/sheet7.xml"/><Relationship Id="rId10" Type="http://schemas.openxmlformats.org/officeDocument/2006/relationships/worksheet" Target="worksheets/sheet8.xml"/><Relationship Id="rId11" Type="http://schemas.openxmlformats.org/officeDocument/2006/relationships/worksheet" Target="worksheets/sheet9.xml"/><Relationship Id="rId12" Type="http://schemas.openxmlformats.org/officeDocument/2006/relationships/worksheet" Target="worksheets/sheet10.xml"/><Relationship Id="rId13" Type="http://schemas.openxmlformats.org/officeDocument/2006/relationships/worksheet" Target="worksheets/sheet11.xml"/><Relationship Id="rId14" Type="http://schemas.openxmlformats.org/officeDocument/2006/relationships/worksheet" Target="worksheets/sheet12.xml"/><Relationship Id="rId15" Type="http://schemas.openxmlformats.org/officeDocument/2006/relationships/worksheet" Target="worksheets/sheet13.xml"/><Relationship Id="rId16" Type="http://schemas.openxmlformats.org/officeDocument/2006/relationships/worksheet" Target="worksheets/sheet14.xml"/><Relationship Id="rId17" Type="http://schemas.openxmlformats.org/officeDocument/2006/relationships/sharedStrings" Target="sharedStrings.xml"/>
</Relationships>
</file>

<file path=xl/theme/theme1.xml><?xml version="1.0" encoding="utf-8"?>
<a:theme xmlns:a="http://schemas.openxmlformats.org/drawingml/2006/main" xmlns:r="http://schemas.openxmlformats.org/officeDocument/2006/relationships" name="Office Theme">
  <a:themeElements>
    <a:clrScheme name="Office">
      <a:dk1>
        <a:srgbClr val="000000"/>
      </a:dk1>
      <a:lt1>
        <a:srgbClr val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 pitchFamily="0" charset="1"/>
        <a:ea typeface=""/>
        <a:cs typeface=""/>
      </a:majorFont>
      <a:minorFont>
        <a:latin typeface="Calibri" pitchFamily="0" charset="1"/>
        <a:ea typeface=""/>
        <a:cs typeface=""/>
      </a:minorFont>
    </a:fontScheme>
    <a:fmtScheme>
      <a:fillStyleLst>
        <a:solidFill>
          <a:schemeClr val="phClr"/>
        </a:solidFill>
        <a:gradFill>
          <a:gsLst>
            <a:gs pos="0">
              <a:schemeClr val="phClr">
                <a:tint val="50000"/>
              </a:schemeClr>
            </a:gs>
            <a:gs pos="35000">
              <a:schemeClr val="phClr">
                <a:tint val="37000"/>
              </a:schemeClr>
            </a:gs>
            <a:gs pos="100000">
              <a:schemeClr val="phClr">
                <a:tint val="15000"/>
              </a:schemeClr>
            </a:gs>
          </a:gsLst>
          <a:lin ang="16200000" scaled="1"/>
          <a:tileRect l="0" t="0" r="0" b="0"/>
        </a:gradFill>
        <a:gradFill>
          <a:gsLst>
            <a:gs pos="0">
              <a:schemeClr val="phClr">
                <a:shade val="51000"/>
              </a:schemeClr>
            </a:gs>
            <a:gs pos="80000">
              <a:schemeClr val="phClr">
                <a:shade val="93000"/>
              </a:schemeClr>
            </a:gs>
            <a:gs pos="100000">
              <a:schemeClr val="phClr">
                <a:shade val="94000"/>
              </a:schemeClr>
            </a:gs>
          </a:gsLst>
          <a:lin ang="16200000" scaled="0"/>
          <a:tileRect l="0" t="0" r="0" b="0"/>
        </a:gradFill>
      </a:fillStyleLst>
      <a:lnStyleLst>
        <a:ln w="9525" cap="flat" cmpd="sng" algn="ctr">
          <a:prstDash val="solid"/>
        </a:ln>
        <a:ln w="25400" cap="flat" cmpd="sng" algn="ctr">
          <a:prstDash val="solid"/>
        </a:ln>
        <a:ln w="38100" cap="flat" cmpd="sng" algn="ctr">
          <a:prstDash val="solid"/>
        </a:ln>
      </a:lnStyleLst>
      <a:effectStyleLst>
        <a:effectStyle>
          <a:effectLst/>
        </a:effectStyle>
        <a:effectStyle>
          <a:effectLst/>
        </a:effectStyle>
        <a:effectStyle>
          <a:effectLst/>
        </a:effectStyle>
      </a:effectStyleLst>
      <a:bgFillStyleLst>
        <a:solidFill>
          <a:schemeClr val="phClr"/>
        </a:solidFill>
        <a:gradFill>
          <a:gsLst>
            <a:gs pos="0">
              <a:schemeClr val="phClr">
                <a:tint val="40000"/>
              </a:schemeClr>
            </a:gs>
            <a:gs pos="40000">
              <a:schemeClr val="phClr">
                <a:tint val="45000"/>
                <a:shade val="99000"/>
              </a:schemeClr>
            </a:gs>
            <a:gs pos="100000">
              <a:schemeClr val="phClr">
                <a:shade val="20000"/>
              </a:schemeClr>
            </a:gs>
          </a:gsLst>
          <a:path path="circle">
            <a:fillToRect l="50000" t="-80000" r="50000" b="180000"/>
          </a:path>
          <a:tileRect l="0" t="0" r="0" b="0"/>
        </a:gradFill>
        <a:gradFill>
          <a:gsLst>
            <a:gs pos="0">
              <a:schemeClr val="phClr">
                <a:tint val="80000"/>
              </a:schemeClr>
            </a:gs>
            <a:gs pos="100000">
              <a:schemeClr val="phClr">
                <a:shade val="30000"/>
              </a:schemeClr>
            </a:gs>
          </a:gsLst>
          <a:path path="circle">
            <a:fillToRect l="50000" t="50000" r="50000" b="50000"/>
          </a:path>
          <a:tileRect l="0" t="0" r="0" b="0"/>
        </a:gradFill>
      </a:bgFillStyleLst>
    </a:fmtScheme>
  </a:themeElements>
</a:theme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r2="http://schemas.microsoft.com/office/spreadsheetml/2015/revision2" xmlns:mc="http://schemas.openxmlformats.org/markup-compatibility/2006">
  <sheetPr filterMode="false">
    <pageSetUpPr fitToPage="false"/>
  </sheetPr>
  <dimension ref="B2:B5"/>
  <sheetViews>
    <sheetView showFormulas="false" showGridLines="true" showRowColHeaders="true" showZeros="true" rightToLeft="false" tabSelected="true" showOutlineSymbols="true" defaultGridColor="true" view="normal" topLeftCell="A1" colorId="64" zoomScale="100" zoomScaleNormal="100" zoomScalePageLayoutView="100" workbookViewId="0">
      <selection pane="topLeft" activeCell="A1" activeCellId="0" sqref="A1"/>
    </sheetView>
  </sheetViews>
  <sheetFormatPr defaultColWidth="8.6796875" defaultRowHeight="15" zeroHeight="false" outlineLevelRow="0" outlineLevelCol="0"/>
  <cols>
    <col collapsed="false" customWidth="true" hidden="false" outlineLevel="0" max="2" min="2" style="0" width="110"/>
  </cols>
  <sheetData>
    <row r="2" customFormat="false" ht="17.35" hidden="false" customHeight="false" outlineLevel="0" collapsed="false">
      <c r="B2" s="1" t="s">
        <v>0</v>
      </c>
    </row>
    <row r="3" customFormat="false" ht="15" hidden="false" customHeight="false" outlineLevel="0" collapsed="false">
      <c r="B3" s="2" t="s">
        <v>1</v>
      </c>
    </row>
    <row r="4" customFormat="false" ht="15" hidden="false" customHeight="false" outlineLevel="0" collapsed="false">
      <c r="B4" s="2" t="s">
        <v>2</v>
      </c>
    </row>
    <row r="5" customFormat="false" ht="15" hidden="false" customHeight="false" outlineLevel="0" collapsed="false">
      <c r="B5" s="2" t="s">
        <v>3</v>
      </c>
    </row>
  </sheetData>
  <printOptions headings="false" gridLines="false" gridLinesSet="true" horizontalCentered="false" verticalCentered="false"/>
  <pageMargins left="0.75" right="0.75" top="1" bottom="1" header="0.511811023622047" footer="0.511811023622047"/>
  <pageSetup paperSize="9" scale="100" fitToWidth="1" fitToHeight="1" pageOrder="downThenOver" orientation="portrait" blackAndWhite="false" draft="false" cellComments="none" horizontalDpi="300" verticalDpi="300" copies="1"/>
  <headerFooter differentFirst="false" differentOddEven="false">
    <oddHeader/>
    <oddFooter/>
  </headerFooter>
</worksheet>
</file>

<file path=xl/worksheets/sheet2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r2="http://schemas.microsoft.com/office/spreadsheetml/2015/revision2" xmlns:mc="http://schemas.openxmlformats.org/markup-compatibility/2006">
  <sheetPr filterMode="false">
    <pageSetUpPr fitToPage="false"/>
  </sheetPr>
  <dimension ref="B2:J181"/>
  <sheetViews>
    <sheetView showFormulas="false" showGridLines="true" showRowColHeaders="true" showZeros="true" rightToLeft="false" tabSelected="false" showOutlineSymbols="true" defaultGridColor="true" view="normal" topLeftCell="A1" colorId="64" zoomScale="100" zoomScaleNormal="100" zoomScalePageLayoutView="100" workbookViewId="0">
      <selection pane="topLeft" activeCell="A1" activeCellId="0" sqref="A1"/>
    </sheetView>
  </sheetViews>
  <sheetFormatPr defaultColWidth="8.6796875" defaultRowHeight="15" zeroHeight="false" outlineLevelRow="0" outlineLevelCol="0"/>
  <cols>
    <col collapsed="false" customWidth="true" hidden="false" outlineLevel="0" max="1" min="1" style="0" width="3"/>
    <col collapsed="false" customWidth="true" hidden="false" outlineLevel="0" max="2" min="2" style="0" width="46"/>
    <col collapsed="false" customWidth="true" hidden="false" outlineLevel="0" max="3" min="3" style="0" width="30"/>
    <col collapsed="false" customWidth="true" hidden="false" outlineLevel="0" max="6" min="4" style="0" width="18"/>
    <col collapsed="false" customWidth="true" hidden="false" outlineLevel="0" max="7" min="7" style="0" width="44"/>
    <col collapsed="false" customWidth="true" hidden="false" outlineLevel="0" max="9" min="8" style="0" width="12"/>
    <col collapsed="false" customWidth="true" hidden="false" outlineLevel="0" max="10" min="10" style="0" width="18"/>
  </cols>
  <sheetData>
    <row r="2" customFormat="false" ht="17.35" hidden="false" customHeight="false" outlineLevel="0" collapsed="false">
      <c r="B2" s="1" t="s">
        <v>4</v>
      </c>
    </row>
    <row r="3" customFormat="false" ht="15" hidden="false" customHeight="false" outlineLevel="0" collapsed="false">
      <c r="B3" s="0" t="s">
        <v>5</v>
      </c>
    </row>
    <row r="4" customFormat="false" ht="15" hidden="false" customHeight="false" outlineLevel="0" collapsed="false">
      <c r="B4" s="0" t="s">
        <v>6</v>
      </c>
    </row>
    <row r="18" customFormat="false" ht="15" hidden="false" customHeight="false" outlineLevel="0" collapsed="false">
      <c r="B18" s="3" t="s">
        <v>7</v>
      </c>
    </row>
    <row r="19" customFormat="false" ht="15" hidden="false" customHeight="false" outlineLevel="0" collapsed="false">
      <c r="B19" s="4" t="s">
        <v>8</v>
      </c>
    </row>
    <row r="20" customFormat="false" ht="15" hidden="false" customHeight="false" outlineLevel="0" collapsed="false">
      <c r="B20" s="5" t="s">
        <v>9</v>
      </c>
    </row>
    <row r="21" customFormat="false" ht="15" hidden="false" customHeight="false" outlineLevel="0" collapsed="false">
      <c r="B21" s="6" t="s">
        <v>10</v>
      </c>
    </row>
    <row r="24" customFormat="false" ht="15" hidden="false" customHeight="false" outlineLevel="0" collapsed="false">
      <c r="B24" s="0" t="s">
        <v>11</v>
      </c>
      <c r="D24" s="3" t="s">
        <v>12</v>
      </c>
    </row>
    <row r="26" customFormat="false" ht="15" hidden="false" customHeight="false" outlineLevel="0" collapsed="false">
      <c r="B26" s="0" t="s">
        <v>13</v>
      </c>
      <c r="E26" s="7" t="n">
        <v>45901</v>
      </c>
    </row>
    <row r="28" customFormat="false" ht="15" hidden="false" customHeight="false" outlineLevel="0" collapsed="false">
      <c r="B28" s="0" t="s">
        <v>14</v>
      </c>
      <c r="J28" s="8" t="n">
        <v>18700000</v>
      </c>
    </row>
    <row r="29" customFormat="false" ht="15" hidden="false" customHeight="false" outlineLevel="0" collapsed="false">
      <c r="B29" s="0" t="s">
        <v>15</v>
      </c>
      <c r="J29" s="3" t="s">
        <v>16</v>
      </c>
    </row>
    <row r="31" customFormat="false" ht="15" hidden="false" customHeight="false" outlineLevel="0" collapsed="false">
      <c r="B31" s="0" t="s">
        <v>17</v>
      </c>
      <c r="F31" s="9" t="n">
        <v>0.0396</v>
      </c>
    </row>
    <row r="33" customFormat="false" ht="15" hidden="false" customHeight="false" outlineLevel="0" collapsed="false">
      <c r="B33" s="0" t="s">
        <v>18</v>
      </c>
      <c r="F33" s="9" t="n">
        <v>0.0351</v>
      </c>
    </row>
    <row r="35" customFormat="false" ht="15" hidden="false" customHeight="false" outlineLevel="0" collapsed="false">
      <c r="B35" s="0" t="s">
        <v>19</v>
      </c>
      <c r="F35" s="9" t="n">
        <v>0.1863</v>
      </c>
    </row>
    <row r="37" customFormat="false" ht="15" hidden="false" customHeight="false" outlineLevel="0" collapsed="false">
      <c r="B37" s="0" t="s">
        <v>20</v>
      </c>
      <c r="F37" s="9" t="n">
        <v>0.1527</v>
      </c>
    </row>
    <row r="39" customFormat="false" ht="15" hidden="false" customHeight="false" outlineLevel="0" collapsed="false">
      <c r="B39" s="0" t="s">
        <v>21</v>
      </c>
      <c r="F39" s="10" t="n">
        <f aca="false">F37*J28</f>
        <v>2855490</v>
      </c>
    </row>
    <row r="41" customFormat="false" ht="15" hidden="false" customHeight="false" outlineLevel="0" collapsed="false">
      <c r="B41" s="0" t="s">
        <v>22</v>
      </c>
      <c r="F41" s="10" t="n">
        <f aca="false">E74</f>
        <v>0</v>
      </c>
    </row>
    <row r="43" customFormat="false" ht="15" hidden="false" customHeight="false" outlineLevel="0" collapsed="false">
      <c r="B43" s="0" t="s">
        <v>23</v>
      </c>
      <c r="F43" s="10" t="n">
        <f aca="false">E88</f>
        <v>0</v>
      </c>
    </row>
    <row r="45" customFormat="false" ht="15" hidden="false" customHeight="false" outlineLevel="0" collapsed="false">
      <c r="B45" s="0" t="s">
        <v>24</v>
      </c>
      <c r="F45" s="10" t="n">
        <f aca="false">J74</f>
        <v>0</v>
      </c>
    </row>
    <row r="47" customFormat="false" ht="15" hidden="false" customHeight="false" outlineLevel="0" collapsed="false">
      <c r="B47" s="0" t="s">
        <v>25</v>
      </c>
      <c r="F47" s="10" t="n">
        <f aca="false">J88</f>
        <v>84579.72</v>
      </c>
    </row>
    <row r="49" customFormat="false" ht="15" hidden="false" customHeight="false" outlineLevel="0" collapsed="false">
      <c r="B49" s="0" t="s">
        <v>26</v>
      </c>
      <c r="F49" s="10" t="n">
        <f aca="false">E102</f>
        <v>62500</v>
      </c>
    </row>
    <row r="51" customFormat="false" ht="15" hidden="false" customHeight="false" outlineLevel="0" collapsed="false">
      <c r="B51" s="0" t="s">
        <v>27</v>
      </c>
      <c r="F51" s="10" t="n">
        <f aca="false">J102</f>
        <v>0</v>
      </c>
    </row>
    <row r="53" customFormat="false" ht="15" hidden="false" customHeight="false" outlineLevel="0" collapsed="false">
      <c r="B53" s="0" t="s">
        <v>28</v>
      </c>
      <c r="F53" s="10" t="n">
        <f aca="false">E115</f>
        <v>131349.02</v>
      </c>
    </row>
    <row r="55" customFormat="false" ht="15" hidden="false" customHeight="false" outlineLevel="0" collapsed="false">
      <c r="B55" s="0" t="s">
        <v>29</v>
      </c>
      <c r="F55" s="8" t="n">
        <v>2831748.85</v>
      </c>
    </row>
    <row r="56" customFormat="false" ht="15" hidden="false" customHeight="false" outlineLevel="0" collapsed="false">
      <c r="B56" s="0" t="s">
        <v>30</v>
      </c>
      <c r="F56" s="10" t="n">
        <f aca="false">F55-J115</f>
        <v>2831748.85</v>
      </c>
    </row>
    <row r="58" customFormat="false" ht="15" hidden="false" customHeight="false" outlineLevel="0" collapsed="false">
      <c r="B58" s="0" t="s">
        <v>31</v>
      </c>
      <c r="F58" s="10" t="n">
        <f aca="false">E129</f>
        <v>0</v>
      </c>
    </row>
    <row r="63" customFormat="false" ht="15" hidden="false" customHeight="false" outlineLevel="0" collapsed="false">
      <c r="B63" s="11" t="s">
        <v>32</v>
      </c>
      <c r="G63" s="11" t="s">
        <v>33</v>
      </c>
    </row>
    <row r="74" customFormat="false" ht="15" hidden="false" customHeight="false" outlineLevel="0" collapsed="false">
      <c r="B74" s="12" t="s">
        <v>34</v>
      </c>
      <c r="E74" s="13" t="n">
        <f aca="false">SUM(E64:E73)</f>
        <v>0</v>
      </c>
      <c r="G74" s="12" t="s">
        <v>34</v>
      </c>
      <c r="J74" s="13" t="n">
        <f aca="false">SUM(J64:J73)</f>
        <v>0</v>
      </c>
    </row>
    <row r="77" customFormat="false" ht="15" hidden="false" customHeight="false" outlineLevel="0" collapsed="false">
      <c r="B77" s="11" t="s">
        <v>35</v>
      </c>
      <c r="G77" s="11" t="s">
        <v>36</v>
      </c>
    </row>
    <row r="78" customFormat="false" ht="15" hidden="false" customHeight="false" outlineLevel="0" collapsed="false">
      <c r="G78" s="0" t="s">
        <v>37</v>
      </c>
      <c r="J78" s="14" t="n">
        <v>28768.98</v>
      </c>
    </row>
    <row r="79" customFormat="false" ht="15" hidden="false" customHeight="false" outlineLevel="0" collapsed="false">
      <c r="G79" s="0" t="s">
        <v>38</v>
      </c>
      <c r="J79" s="14" t="n">
        <v>24516.07</v>
      </c>
    </row>
    <row r="80" customFormat="false" ht="15" hidden="false" customHeight="false" outlineLevel="0" collapsed="false">
      <c r="G80" s="0" t="s">
        <v>39</v>
      </c>
      <c r="J80" s="14" t="n">
        <v>31294.67</v>
      </c>
    </row>
    <row r="88" customFormat="false" ht="15" hidden="false" customHeight="false" outlineLevel="0" collapsed="false">
      <c r="B88" s="12" t="s">
        <v>34</v>
      </c>
      <c r="E88" s="13" t="n">
        <f aca="false">SUM(E78:E87)</f>
        <v>0</v>
      </c>
      <c r="G88" s="12" t="s">
        <v>34</v>
      </c>
      <c r="J88" s="13" t="n">
        <f aca="false">SUM(J78:J87)</f>
        <v>84579.72</v>
      </c>
    </row>
    <row r="91" customFormat="false" ht="15" hidden="false" customHeight="false" outlineLevel="0" collapsed="false">
      <c r="B91" s="11" t="s">
        <v>40</v>
      </c>
      <c r="G91" s="11" t="s">
        <v>41</v>
      </c>
    </row>
    <row r="92" customFormat="false" ht="15" hidden="false" customHeight="false" outlineLevel="0" collapsed="false">
      <c r="B92" s="0" t="s">
        <v>42</v>
      </c>
      <c r="E92" s="14" t="n">
        <v>9800</v>
      </c>
    </row>
    <row r="93" customFormat="false" ht="15" hidden="false" customHeight="false" outlineLevel="0" collapsed="false">
      <c r="B93" s="0" t="s">
        <v>43</v>
      </c>
      <c r="E93" s="14" t="n">
        <v>38500</v>
      </c>
    </row>
    <row r="94" customFormat="false" ht="15" hidden="false" customHeight="false" outlineLevel="0" collapsed="false">
      <c r="B94" s="0" t="s">
        <v>44</v>
      </c>
      <c r="E94" s="14" t="n">
        <v>14200</v>
      </c>
    </row>
    <row r="102" customFormat="false" ht="15" hidden="false" customHeight="false" outlineLevel="0" collapsed="false">
      <c r="B102" s="12" t="s">
        <v>34</v>
      </c>
      <c r="E102" s="13" t="n">
        <f aca="false">SUM(E92:E101)</f>
        <v>62500</v>
      </c>
      <c r="G102" s="12" t="s">
        <v>34</v>
      </c>
      <c r="J102" s="13" t="n">
        <f aca="false">SUM(J92:J101)</f>
        <v>0</v>
      </c>
    </row>
    <row r="105" customFormat="false" ht="15" hidden="false" customHeight="false" outlineLevel="0" collapsed="false">
      <c r="B105" s="11" t="s">
        <v>45</v>
      </c>
      <c r="G105" s="11" t="s">
        <v>46</v>
      </c>
    </row>
    <row r="106" customFormat="false" ht="15" hidden="false" customHeight="false" outlineLevel="0" collapsed="false">
      <c r="B106" s="0" t="s">
        <v>47</v>
      </c>
      <c r="E106" s="14" t="n">
        <v>39788.06</v>
      </c>
    </row>
    <row r="107" customFormat="false" ht="15" hidden="false" customHeight="false" outlineLevel="0" collapsed="false">
      <c r="B107" s="0" t="s">
        <v>48</v>
      </c>
      <c r="E107" s="14" t="n">
        <v>51566.89</v>
      </c>
    </row>
    <row r="108" customFormat="false" ht="15" hidden="false" customHeight="false" outlineLevel="0" collapsed="false">
      <c r="B108" s="0" t="s">
        <v>49</v>
      </c>
      <c r="E108" s="14" t="n">
        <v>39994.07</v>
      </c>
    </row>
    <row r="115" customFormat="false" ht="15" hidden="false" customHeight="false" outlineLevel="0" collapsed="false">
      <c r="B115" s="12" t="s">
        <v>34</v>
      </c>
      <c r="E115" s="13" t="n">
        <f aca="false">SUM(E106:E114)</f>
        <v>131349.02</v>
      </c>
      <c r="G115" s="12" t="s">
        <v>34</v>
      </c>
      <c r="J115" s="13" t="n">
        <f aca="false">SUM(J106:J114)</f>
        <v>0</v>
      </c>
    </row>
    <row r="118" customFormat="false" ht="15" hidden="false" customHeight="false" outlineLevel="0" collapsed="false">
      <c r="B118" s="11" t="s">
        <v>50</v>
      </c>
    </row>
    <row r="129" customFormat="false" ht="15" hidden="false" customHeight="false" outlineLevel="0" collapsed="false">
      <c r="B129" s="12" t="s">
        <v>34</v>
      </c>
      <c r="E129" s="13" t="n">
        <f aca="false">SUM(E119:E128)</f>
        <v>0</v>
      </c>
    </row>
    <row r="132" customFormat="false" ht="17.35" hidden="false" customHeight="false" outlineLevel="0" collapsed="false">
      <c r="B132" s="1" t="s">
        <v>51</v>
      </c>
    </row>
    <row r="135" customFormat="false" ht="15" hidden="false" customHeight="false" outlineLevel="0" collapsed="false">
      <c r="G135" s="12" t="s">
        <v>52</v>
      </c>
    </row>
    <row r="136" customFormat="false" ht="15" hidden="false" customHeight="false" outlineLevel="0" collapsed="false">
      <c r="C136" s="0" t="s">
        <v>53</v>
      </c>
      <c r="D136" s="4" t="str">
        <f aca="false">D24</f>
        <v>POTENGI</v>
      </c>
      <c r="G136" s="15" t="s">
        <v>54</v>
      </c>
      <c r="J136" s="8" t="n">
        <v>673191.16</v>
      </c>
    </row>
    <row r="137" customFormat="false" ht="15" hidden="false" customHeight="false" outlineLevel="0" collapsed="false">
      <c r="C137" s="0" t="s">
        <v>55</v>
      </c>
      <c r="D137" s="10" t="n">
        <f aca="false">J28</f>
        <v>18700000</v>
      </c>
      <c r="G137" s="15" t="s">
        <v>56</v>
      </c>
      <c r="J137" s="8" t="n">
        <v>642885.65</v>
      </c>
    </row>
    <row r="138" customFormat="false" ht="15" hidden="false" customHeight="false" outlineLevel="0" collapsed="false">
      <c r="C138" s="0" t="s">
        <v>15</v>
      </c>
      <c r="D138" s="4" t="str">
        <f aca="false">J29</f>
        <v>Orçamento executivo</v>
      </c>
      <c r="G138" s="15" t="s">
        <v>57</v>
      </c>
      <c r="J138" s="10" t="n">
        <f aca="false">J137-J136</f>
        <v>-30305.51</v>
      </c>
    </row>
    <row r="139" customFormat="false" ht="15" hidden="false" customHeight="false" outlineLevel="0" collapsed="false">
      <c r="C139" s="0" t="s">
        <v>58</v>
      </c>
      <c r="D139" s="16" t="n">
        <f aca="false">E26</f>
        <v>45901</v>
      </c>
      <c r="G139" s="15" t="s">
        <v>59</v>
      </c>
    </row>
    <row r="140" customFormat="false" ht="15" hidden="false" customHeight="false" outlineLevel="0" collapsed="false">
      <c r="C140" s="0" t="s">
        <v>60</v>
      </c>
      <c r="D140" s="17" t="n">
        <f aca="false">F31</f>
        <v>0.0396</v>
      </c>
    </row>
    <row r="141" customFormat="false" ht="15" hidden="false" customHeight="false" outlineLevel="0" collapsed="false">
      <c r="C141" s="0" t="s">
        <v>61</v>
      </c>
      <c r="D141" s="17" t="n">
        <f aca="false">F33</f>
        <v>0.0351</v>
      </c>
    </row>
    <row r="142" customFormat="false" ht="15" hidden="false" customHeight="false" outlineLevel="0" collapsed="false">
      <c r="C142" s="0" t="s">
        <v>62</v>
      </c>
      <c r="D142" s="17" t="n">
        <f aca="false">F35</f>
        <v>0.1863</v>
      </c>
    </row>
    <row r="143" customFormat="false" ht="15" hidden="false" customHeight="false" outlineLevel="0" collapsed="false">
      <c r="C143" s="0" t="s">
        <v>63</v>
      </c>
      <c r="D143" s="17" t="n">
        <f aca="false">F37</f>
        <v>0.1527</v>
      </c>
    </row>
    <row r="145" customFormat="false" ht="15" hidden="false" customHeight="false" outlineLevel="0" collapsed="false">
      <c r="B145" s="0" t="s">
        <v>64</v>
      </c>
      <c r="C145" s="0" t="s">
        <v>65</v>
      </c>
      <c r="D145" s="10" t="n">
        <f aca="false">F39</f>
        <v>2855490</v>
      </c>
      <c r="E145" s="18" t="n">
        <f aca="false">D145/$D$137</f>
        <v>0.1527</v>
      </c>
    </row>
    <row r="146" customFormat="false" ht="15" hidden="false" customHeight="false" outlineLevel="0" collapsed="false">
      <c r="B146" s="0" t="s">
        <v>66</v>
      </c>
      <c r="C146" s="0" t="s">
        <v>32</v>
      </c>
      <c r="D146" s="10" t="n">
        <f aca="false">F41</f>
        <v>0</v>
      </c>
      <c r="E146" s="18" t="n">
        <f aca="false">D146/$D$137</f>
        <v>0</v>
      </c>
    </row>
    <row r="147" customFormat="false" ht="15" hidden="false" customHeight="false" outlineLevel="0" collapsed="false">
      <c r="B147" s="0" t="s">
        <v>67</v>
      </c>
      <c r="C147" s="0" t="s">
        <v>35</v>
      </c>
      <c r="D147" s="10" t="n">
        <f aca="false">F43</f>
        <v>0</v>
      </c>
      <c r="E147" s="18" t="n">
        <f aca="false">D147/$D$137</f>
        <v>0</v>
      </c>
    </row>
    <row r="148" customFormat="false" ht="15" hidden="false" customHeight="false" outlineLevel="0" collapsed="false">
      <c r="B148" s="0" t="s">
        <v>68</v>
      </c>
      <c r="C148" s="0" t="s">
        <v>33</v>
      </c>
      <c r="D148" s="10" t="n">
        <f aca="false">F45</f>
        <v>0</v>
      </c>
      <c r="E148" s="18" t="n">
        <f aca="false">D148/$D$137</f>
        <v>0</v>
      </c>
    </row>
    <row r="149" customFormat="false" ht="15" hidden="false" customHeight="false" outlineLevel="0" collapsed="false">
      <c r="B149" s="0" t="s">
        <v>69</v>
      </c>
      <c r="C149" s="0" t="s">
        <v>36</v>
      </c>
      <c r="D149" s="10" t="n">
        <f aca="false">F47</f>
        <v>84579.72</v>
      </c>
      <c r="E149" s="18" t="n">
        <f aca="false">D149/$D$137</f>
        <v>0.00452297967914439</v>
      </c>
    </row>
    <row r="150" customFormat="false" ht="15" hidden="false" customHeight="false" outlineLevel="0" collapsed="false">
      <c r="B150" s="0" t="s">
        <v>70</v>
      </c>
      <c r="C150" s="0" t="s">
        <v>71</v>
      </c>
      <c r="D150" s="10" t="n">
        <f aca="false">F49</f>
        <v>62500</v>
      </c>
      <c r="E150" s="18" t="n">
        <f aca="false">D150/$D$137</f>
        <v>0.00334224598930481</v>
      </c>
    </row>
    <row r="151" customFormat="false" ht="15" hidden="false" customHeight="false" outlineLevel="0" collapsed="false">
      <c r="B151" s="0" t="s">
        <v>72</v>
      </c>
      <c r="C151" s="0" t="s">
        <v>73</v>
      </c>
      <c r="D151" s="10" t="n">
        <f aca="false">F51</f>
        <v>0</v>
      </c>
      <c r="E151" s="18" t="n">
        <f aca="false">D151/$D$137</f>
        <v>0</v>
      </c>
    </row>
    <row r="152" customFormat="false" ht="15" hidden="false" customHeight="false" outlineLevel="0" collapsed="false">
      <c r="B152" s="0" t="s">
        <v>74</v>
      </c>
      <c r="C152" s="0" t="s">
        <v>45</v>
      </c>
      <c r="D152" s="10" t="n">
        <f aca="false">F53</f>
        <v>131349.02</v>
      </c>
      <c r="E152" s="18" t="n">
        <f aca="false">D152/$D$137</f>
        <v>0.00702401176470588</v>
      </c>
    </row>
    <row r="153" customFormat="false" ht="15" hidden="false" customHeight="false" outlineLevel="0" collapsed="false">
      <c r="B153" s="0" t="s">
        <v>75</v>
      </c>
      <c r="C153" s="0" t="s">
        <v>76</v>
      </c>
      <c r="D153" s="10" t="n">
        <f aca="false">F56</f>
        <v>2831748.85</v>
      </c>
      <c r="E153" s="18" t="n">
        <f aca="false">D153/$D$137</f>
        <v>0.151430419786096</v>
      </c>
    </row>
    <row r="154" customFormat="false" ht="15" hidden="false" customHeight="false" outlineLevel="0" collapsed="false">
      <c r="B154" s="0" t="s">
        <v>77</v>
      </c>
      <c r="C154" s="0" t="s">
        <v>50</v>
      </c>
      <c r="D154" s="10" t="n">
        <f aca="false">F58</f>
        <v>0</v>
      </c>
      <c r="E154" s="18" t="n">
        <f aca="false">D154/$D$137</f>
        <v>0</v>
      </c>
    </row>
    <row r="155" customFormat="false" ht="15" hidden="false" customHeight="false" outlineLevel="0" collapsed="false">
      <c r="C155" s="12" t="s">
        <v>78</v>
      </c>
      <c r="D155" s="13" t="n">
        <f aca="false">D145+D146+D147+D148+D149+D150+D151-D152-D153-D154</f>
        <v>39471.8500000001</v>
      </c>
      <c r="E155" s="19" t="n">
        <f aca="false">D155/D137</f>
        <v>0.00211079411764706</v>
      </c>
    </row>
    <row r="156" customFormat="false" ht="15" hidden="false" customHeight="false" outlineLevel="0" collapsed="false">
      <c r="C156" s="0" t="s">
        <v>79</v>
      </c>
    </row>
    <row r="160" customFormat="false" ht="15" hidden="false" customHeight="false" outlineLevel="0" collapsed="false">
      <c r="B160" s="12" t="s">
        <v>80</v>
      </c>
    </row>
    <row r="162" customFormat="false" ht="15" hidden="false" customHeight="false" outlineLevel="0" collapsed="false">
      <c r="B162" s="12" t="s">
        <v>81</v>
      </c>
    </row>
    <row r="163" customFormat="false" ht="15" hidden="false" customHeight="false" outlineLevel="0" collapsed="false">
      <c r="B163" s="0" t="s">
        <v>82</v>
      </c>
    </row>
    <row r="164" customFormat="false" ht="15" hidden="false" customHeight="false" outlineLevel="0" collapsed="false">
      <c r="B164" s="12" t="s">
        <v>83</v>
      </c>
    </row>
    <row r="165" customFormat="false" ht="15" hidden="false" customHeight="false" outlineLevel="0" collapsed="false">
      <c r="B165" s="0" t="s">
        <v>84</v>
      </c>
    </row>
    <row r="166" customFormat="false" ht="15" hidden="false" customHeight="false" outlineLevel="0" collapsed="false">
      <c r="B166" s="12" t="s">
        <v>85</v>
      </c>
    </row>
    <row r="167" customFormat="false" ht="15" hidden="false" customHeight="false" outlineLevel="0" collapsed="false">
      <c r="B167" s="0" t="s">
        <v>86</v>
      </c>
    </row>
    <row r="168" customFormat="false" ht="15" hidden="false" customHeight="false" outlineLevel="0" collapsed="false">
      <c r="B168" s="12" t="s">
        <v>87</v>
      </c>
    </row>
    <row r="169" customFormat="false" ht="15" hidden="false" customHeight="false" outlineLevel="0" collapsed="false">
      <c r="B169" s="0" t="s">
        <v>88</v>
      </c>
    </row>
    <row r="170" customFormat="false" ht="15" hidden="false" customHeight="false" outlineLevel="0" collapsed="false">
      <c r="B170" s="12" t="s">
        <v>89</v>
      </c>
    </row>
    <row r="171" customFormat="false" ht="15" hidden="false" customHeight="false" outlineLevel="0" collapsed="false">
      <c r="B171" s="0" t="s">
        <v>90</v>
      </c>
    </row>
    <row r="172" customFormat="false" ht="15" hidden="false" customHeight="false" outlineLevel="0" collapsed="false">
      <c r="B172" s="12" t="s">
        <v>91</v>
      </c>
    </row>
    <row r="173" customFormat="false" ht="15" hidden="false" customHeight="false" outlineLevel="0" collapsed="false">
      <c r="B173" s="0" t="s">
        <v>92</v>
      </c>
    </row>
    <row r="174" customFormat="false" ht="15" hidden="false" customHeight="false" outlineLevel="0" collapsed="false">
      <c r="B174" s="12" t="s">
        <v>93</v>
      </c>
    </row>
    <row r="175" customFormat="false" ht="15" hidden="false" customHeight="false" outlineLevel="0" collapsed="false">
      <c r="B175" s="0" t="s">
        <v>94</v>
      </c>
    </row>
    <row r="176" customFormat="false" ht="15" hidden="false" customHeight="false" outlineLevel="0" collapsed="false">
      <c r="B176" s="12" t="s">
        <v>95</v>
      </c>
    </row>
    <row r="177" customFormat="false" ht="15" hidden="false" customHeight="false" outlineLevel="0" collapsed="false">
      <c r="B177" s="0" t="s">
        <v>96</v>
      </c>
    </row>
    <row r="178" customFormat="false" ht="15" hidden="false" customHeight="false" outlineLevel="0" collapsed="false">
      <c r="B178" s="12" t="s">
        <v>97</v>
      </c>
    </row>
    <row r="179" customFormat="false" ht="15" hidden="false" customHeight="false" outlineLevel="0" collapsed="false">
      <c r="B179" s="0" t="s">
        <v>98</v>
      </c>
    </row>
    <row r="180" customFormat="false" ht="15" hidden="false" customHeight="false" outlineLevel="0" collapsed="false">
      <c r="B180" s="12" t="s">
        <v>99</v>
      </c>
    </row>
    <row r="181" customFormat="false" ht="15" hidden="false" customHeight="false" outlineLevel="0" collapsed="false">
      <c r="B181" s="0" t="s">
        <v>100</v>
      </c>
    </row>
  </sheetData>
  <printOptions headings="false" gridLines="false" gridLinesSet="true" horizontalCentered="false" verticalCentered="false"/>
  <pageMargins left="0.75" right="0.75" top="1" bottom="1" header="0.511811023622047" footer="0.511811023622047"/>
  <pageSetup paperSize="9" scale="100" fitToWidth="1" fitToHeight="1" pageOrder="downThenOver" orientation="portrait" blackAndWhite="false" draft="false" cellComments="none" horizontalDpi="300" verticalDpi="300" copies="1"/>
  <headerFooter differentFirst="false" differentOddEven="false">
    <oddHeader/>
    <oddFooter/>
  </headerFooter>
</worksheet>
</file>

<file path=xl/worksheets/sheet3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r2="http://schemas.microsoft.com/office/spreadsheetml/2015/revision2" xmlns:mc="http://schemas.openxmlformats.org/markup-compatibility/2006">
  <sheetPr filterMode="false">
    <pageSetUpPr fitToPage="false"/>
  </sheetPr>
  <dimension ref="B2:J181"/>
  <sheetViews>
    <sheetView showFormulas="false" showGridLines="true" showRowColHeaders="true" showZeros="true" rightToLeft="false" tabSelected="false" showOutlineSymbols="true" defaultGridColor="true" view="normal" topLeftCell="A1" colorId="64" zoomScale="100" zoomScaleNormal="100" zoomScalePageLayoutView="100" workbookViewId="0">
      <selection pane="topLeft" activeCell="A1" activeCellId="0" sqref="A1"/>
    </sheetView>
  </sheetViews>
  <sheetFormatPr defaultColWidth="8.6796875" defaultRowHeight="15" zeroHeight="false" outlineLevelRow="0" outlineLevelCol="0"/>
  <cols>
    <col collapsed="false" customWidth="true" hidden="false" outlineLevel="0" max="1" min="1" style="0" width="3"/>
    <col collapsed="false" customWidth="true" hidden="false" outlineLevel="0" max="2" min="2" style="0" width="46"/>
    <col collapsed="false" customWidth="true" hidden="false" outlineLevel="0" max="3" min="3" style="0" width="30"/>
    <col collapsed="false" customWidth="true" hidden="false" outlineLevel="0" max="6" min="4" style="0" width="18"/>
    <col collapsed="false" customWidth="true" hidden="false" outlineLevel="0" max="7" min="7" style="0" width="44"/>
    <col collapsed="false" customWidth="true" hidden="false" outlineLevel="0" max="9" min="8" style="0" width="12"/>
    <col collapsed="false" customWidth="true" hidden="false" outlineLevel="0" max="10" min="10" style="0" width="18"/>
  </cols>
  <sheetData>
    <row r="2" customFormat="false" ht="17.35" hidden="false" customHeight="false" outlineLevel="0" collapsed="false">
      <c r="B2" s="1" t="s">
        <v>4</v>
      </c>
    </row>
    <row r="3" customFormat="false" ht="15" hidden="false" customHeight="false" outlineLevel="0" collapsed="false">
      <c r="B3" s="0" t="s">
        <v>5</v>
      </c>
    </row>
    <row r="4" customFormat="false" ht="15" hidden="false" customHeight="false" outlineLevel="0" collapsed="false">
      <c r="B4" s="0" t="s">
        <v>6</v>
      </c>
    </row>
    <row r="18" customFormat="false" ht="15" hidden="false" customHeight="false" outlineLevel="0" collapsed="false">
      <c r="B18" s="3" t="s">
        <v>7</v>
      </c>
    </row>
    <row r="19" customFormat="false" ht="15" hidden="false" customHeight="false" outlineLevel="0" collapsed="false">
      <c r="B19" s="4" t="s">
        <v>8</v>
      </c>
    </row>
    <row r="20" customFormat="false" ht="15" hidden="false" customHeight="false" outlineLevel="0" collapsed="false">
      <c r="B20" s="5" t="s">
        <v>9</v>
      </c>
    </row>
    <row r="21" customFormat="false" ht="15" hidden="false" customHeight="false" outlineLevel="0" collapsed="false">
      <c r="B21" s="6" t="s">
        <v>10</v>
      </c>
    </row>
    <row r="24" customFormat="false" ht="15" hidden="false" customHeight="false" outlineLevel="0" collapsed="false">
      <c r="B24" s="0" t="s">
        <v>11</v>
      </c>
      <c r="D24" s="3" t="s">
        <v>12</v>
      </c>
    </row>
    <row r="26" customFormat="false" ht="15" hidden="false" customHeight="false" outlineLevel="0" collapsed="false">
      <c r="B26" s="0" t="s">
        <v>13</v>
      </c>
      <c r="E26" s="7" t="n">
        <v>45931</v>
      </c>
    </row>
    <row r="28" customFormat="false" ht="15" hidden="false" customHeight="false" outlineLevel="0" collapsed="false">
      <c r="B28" s="0" t="s">
        <v>14</v>
      </c>
      <c r="J28" s="8" t="n">
        <v>18778540</v>
      </c>
    </row>
    <row r="29" customFormat="false" ht="15" hidden="false" customHeight="false" outlineLevel="0" collapsed="false">
      <c r="B29" s="0" t="s">
        <v>15</v>
      </c>
      <c r="J29" s="3" t="s">
        <v>16</v>
      </c>
    </row>
    <row r="31" customFormat="false" ht="15" hidden="false" customHeight="false" outlineLevel="0" collapsed="false">
      <c r="B31" s="0" t="s">
        <v>17</v>
      </c>
      <c r="F31" s="9" t="n">
        <v>0.0429</v>
      </c>
    </row>
    <row r="33" customFormat="false" ht="15" hidden="false" customHeight="false" outlineLevel="0" collapsed="false">
      <c r="B33" s="0" t="s">
        <v>18</v>
      </c>
      <c r="F33" s="9" t="n">
        <v>0.0385</v>
      </c>
    </row>
    <row r="35" customFormat="false" ht="15" hidden="false" customHeight="false" outlineLevel="0" collapsed="false">
      <c r="B35" s="0" t="s">
        <v>19</v>
      </c>
      <c r="F35" s="9" t="n">
        <v>0.2292</v>
      </c>
    </row>
    <row r="37" customFormat="false" ht="15" hidden="false" customHeight="false" outlineLevel="0" collapsed="false">
      <c r="B37" s="0" t="s">
        <v>20</v>
      </c>
      <c r="F37" s="9" t="n">
        <v>0.1912</v>
      </c>
    </row>
    <row r="39" customFormat="false" ht="15" hidden="false" customHeight="false" outlineLevel="0" collapsed="false">
      <c r="B39" s="0" t="s">
        <v>21</v>
      </c>
      <c r="F39" s="10" t="n">
        <f aca="false">F37*J28</f>
        <v>3590456.848</v>
      </c>
    </row>
    <row r="41" customFormat="false" ht="15" hidden="false" customHeight="false" outlineLevel="0" collapsed="false">
      <c r="B41" s="0" t="s">
        <v>22</v>
      </c>
      <c r="F41" s="10" t="n">
        <f aca="false">E74</f>
        <v>0</v>
      </c>
    </row>
    <row r="43" customFormat="false" ht="15" hidden="false" customHeight="false" outlineLevel="0" collapsed="false">
      <c r="B43" s="0" t="s">
        <v>23</v>
      </c>
      <c r="F43" s="10" t="n">
        <f aca="false">E88</f>
        <v>0</v>
      </c>
    </row>
    <row r="45" customFormat="false" ht="15" hidden="false" customHeight="false" outlineLevel="0" collapsed="false">
      <c r="B45" s="0" t="s">
        <v>24</v>
      </c>
      <c r="F45" s="10" t="n">
        <f aca="false">J74</f>
        <v>0</v>
      </c>
    </row>
    <row r="47" customFormat="false" ht="15" hidden="false" customHeight="false" outlineLevel="0" collapsed="false">
      <c r="B47" s="0" t="s">
        <v>25</v>
      </c>
      <c r="F47" s="10" t="n">
        <f aca="false">J88</f>
        <v>110912.49</v>
      </c>
    </row>
    <row r="49" customFormat="false" ht="15" hidden="false" customHeight="false" outlineLevel="0" collapsed="false">
      <c r="B49" s="0" t="s">
        <v>26</v>
      </c>
      <c r="F49" s="10" t="n">
        <f aca="false">E102</f>
        <v>62500</v>
      </c>
    </row>
    <row r="51" customFormat="false" ht="15" hidden="false" customHeight="false" outlineLevel="0" collapsed="false">
      <c r="B51" s="0" t="s">
        <v>27</v>
      </c>
      <c r="F51" s="10" t="n">
        <f aca="false">J102</f>
        <v>0</v>
      </c>
    </row>
    <row r="53" customFormat="false" ht="15" hidden="false" customHeight="false" outlineLevel="0" collapsed="false">
      <c r="B53" s="0" t="s">
        <v>28</v>
      </c>
      <c r="F53" s="10" t="n">
        <f aca="false">E115</f>
        <v>169559.13</v>
      </c>
    </row>
    <row r="55" customFormat="false" ht="15" hidden="false" customHeight="false" outlineLevel="0" collapsed="false">
      <c r="B55" s="0" t="s">
        <v>29</v>
      </c>
      <c r="F55" s="8" t="n">
        <v>3562895.11</v>
      </c>
    </row>
    <row r="56" customFormat="false" ht="15" hidden="false" customHeight="false" outlineLevel="0" collapsed="false">
      <c r="B56" s="0" t="s">
        <v>30</v>
      </c>
      <c r="F56" s="10" t="n">
        <f aca="false">F55-J115</f>
        <v>3562895.11</v>
      </c>
    </row>
    <row r="58" customFormat="false" ht="15" hidden="false" customHeight="false" outlineLevel="0" collapsed="false">
      <c r="B58" s="0" t="s">
        <v>31</v>
      </c>
      <c r="F58" s="10" t="n">
        <f aca="false">E129</f>
        <v>0</v>
      </c>
    </row>
    <row r="63" customFormat="false" ht="15" hidden="false" customHeight="false" outlineLevel="0" collapsed="false">
      <c r="B63" s="11" t="s">
        <v>32</v>
      </c>
      <c r="G63" s="11" t="s">
        <v>33</v>
      </c>
    </row>
    <row r="74" customFormat="false" ht="15" hidden="false" customHeight="false" outlineLevel="0" collapsed="false">
      <c r="B74" s="12" t="s">
        <v>34</v>
      </c>
      <c r="E74" s="13" t="n">
        <f aca="false">SUM(E64:E73)</f>
        <v>0</v>
      </c>
      <c r="G74" s="12" t="s">
        <v>34</v>
      </c>
      <c r="J74" s="13" t="n">
        <f aca="false">SUM(J64:J73)</f>
        <v>0</v>
      </c>
    </row>
    <row r="77" customFormat="false" ht="15" hidden="false" customHeight="false" outlineLevel="0" collapsed="false">
      <c r="B77" s="11" t="s">
        <v>35</v>
      </c>
      <c r="G77" s="11" t="s">
        <v>36</v>
      </c>
    </row>
    <row r="78" customFormat="false" ht="15" hidden="false" customHeight="false" outlineLevel="0" collapsed="false">
      <c r="G78" s="0" t="s">
        <v>37</v>
      </c>
      <c r="J78" s="14" t="n">
        <v>47365.83</v>
      </c>
    </row>
    <row r="79" customFormat="false" ht="15" hidden="false" customHeight="false" outlineLevel="0" collapsed="false">
      <c r="G79" s="0" t="s">
        <v>38</v>
      </c>
      <c r="J79" s="14" t="n">
        <v>27092.89</v>
      </c>
    </row>
    <row r="80" customFormat="false" ht="15" hidden="false" customHeight="false" outlineLevel="0" collapsed="false">
      <c r="G80" s="0" t="s">
        <v>39</v>
      </c>
      <c r="J80" s="14" t="n">
        <v>36453.77</v>
      </c>
    </row>
    <row r="88" customFormat="false" ht="15" hidden="false" customHeight="false" outlineLevel="0" collapsed="false">
      <c r="B88" s="12" t="s">
        <v>34</v>
      </c>
      <c r="E88" s="13" t="n">
        <f aca="false">SUM(E78:E87)</f>
        <v>0</v>
      </c>
      <c r="G88" s="12" t="s">
        <v>34</v>
      </c>
      <c r="J88" s="13" t="n">
        <f aca="false">SUM(J78:J87)</f>
        <v>110912.49</v>
      </c>
    </row>
    <row r="91" customFormat="false" ht="15" hidden="false" customHeight="false" outlineLevel="0" collapsed="false">
      <c r="B91" s="11" t="s">
        <v>40</v>
      </c>
      <c r="G91" s="11" t="s">
        <v>41</v>
      </c>
    </row>
    <row r="92" customFormat="false" ht="15" hidden="false" customHeight="false" outlineLevel="0" collapsed="false">
      <c r="B92" s="0" t="s">
        <v>42</v>
      </c>
      <c r="E92" s="14" t="n">
        <v>9800</v>
      </c>
    </row>
    <row r="93" customFormat="false" ht="15" hidden="false" customHeight="false" outlineLevel="0" collapsed="false">
      <c r="B93" s="0" t="s">
        <v>43</v>
      </c>
      <c r="E93" s="14" t="n">
        <v>38500</v>
      </c>
    </row>
    <row r="94" customFormat="false" ht="15" hidden="false" customHeight="false" outlineLevel="0" collapsed="false">
      <c r="B94" s="0" t="s">
        <v>44</v>
      </c>
      <c r="E94" s="14" t="n">
        <v>14200</v>
      </c>
    </row>
    <row r="102" customFormat="false" ht="15" hidden="false" customHeight="false" outlineLevel="0" collapsed="false">
      <c r="B102" s="12" t="s">
        <v>34</v>
      </c>
      <c r="E102" s="13" t="n">
        <f aca="false">SUM(E92:E101)</f>
        <v>62500</v>
      </c>
      <c r="G102" s="12" t="s">
        <v>34</v>
      </c>
      <c r="J102" s="13" t="n">
        <f aca="false">SUM(J92:J101)</f>
        <v>0</v>
      </c>
    </row>
    <row r="105" customFormat="false" ht="15" hidden="false" customHeight="false" outlineLevel="0" collapsed="false">
      <c r="B105" s="11" t="s">
        <v>45</v>
      </c>
      <c r="G105" s="11" t="s">
        <v>46</v>
      </c>
    </row>
    <row r="106" customFormat="false" ht="15" hidden="false" customHeight="false" outlineLevel="0" collapsed="false">
      <c r="B106" s="0" t="s">
        <v>101</v>
      </c>
      <c r="E106" s="14" t="n">
        <v>46973.18</v>
      </c>
    </row>
    <row r="107" customFormat="false" ht="15" hidden="false" customHeight="false" outlineLevel="0" collapsed="false">
      <c r="B107" s="0" t="s">
        <v>102</v>
      </c>
      <c r="E107" s="14" t="n">
        <v>60944.67</v>
      </c>
    </row>
    <row r="108" customFormat="false" ht="15" hidden="false" customHeight="false" outlineLevel="0" collapsed="false">
      <c r="B108" s="0" t="s">
        <v>103</v>
      </c>
      <c r="E108" s="14" t="n">
        <v>61641.28</v>
      </c>
    </row>
    <row r="115" customFormat="false" ht="15" hidden="false" customHeight="false" outlineLevel="0" collapsed="false">
      <c r="B115" s="12" t="s">
        <v>34</v>
      </c>
      <c r="E115" s="13" t="n">
        <f aca="false">SUM(E106:E114)</f>
        <v>169559.13</v>
      </c>
      <c r="G115" s="12" t="s">
        <v>34</v>
      </c>
      <c r="J115" s="13" t="n">
        <f aca="false">SUM(J106:J114)</f>
        <v>0</v>
      </c>
    </row>
    <row r="118" customFormat="false" ht="15" hidden="false" customHeight="false" outlineLevel="0" collapsed="false">
      <c r="B118" s="11" t="s">
        <v>50</v>
      </c>
    </row>
    <row r="129" customFormat="false" ht="15" hidden="false" customHeight="false" outlineLevel="0" collapsed="false">
      <c r="B129" s="12" t="s">
        <v>34</v>
      </c>
      <c r="E129" s="13" t="n">
        <f aca="false">SUM(E119:E128)</f>
        <v>0</v>
      </c>
    </row>
    <row r="132" customFormat="false" ht="17.35" hidden="false" customHeight="false" outlineLevel="0" collapsed="false">
      <c r="B132" s="1" t="s">
        <v>51</v>
      </c>
    </row>
    <row r="135" customFormat="false" ht="15" hidden="false" customHeight="false" outlineLevel="0" collapsed="false">
      <c r="G135" s="12" t="s">
        <v>52</v>
      </c>
    </row>
    <row r="136" customFormat="false" ht="15" hidden="false" customHeight="false" outlineLevel="0" collapsed="false">
      <c r="C136" s="0" t="s">
        <v>53</v>
      </c>
      <c r="D136" s="4" t="str">
        <f aca="false">D24</f>
        <v>POTENGI</v>
      </c>
      <c r="G136" s="15" t="s">
        <v>54</v>
      </c>
      <c r="J136" s="8" t="n">
        <v>777396.09</v>
      </c>
    </row>
    <row r="137" customFormat="false" ht="15" hidden="false" customHeight="false" outlineLevel="0" collapsed="false">
      <c r="C137" s="0" t="s">
        <v>55</v>
      </c>
      <c r="D137" s="10" t="n">
        <f aca="false">J28</f>
        <v>18778540</v>
      </c>
      <c r="G137" s="15" t="s">
        <v>56</v>
      </c>
      <c r="J137" s="8" t="n">
        <v>731146.26</v>
      </c>
    </row>
    <row r="138" customFormat="false" ht="15" hidden="false" customHeight="false" outlineLevel="0" collapsed="false">
      <c r="C138" s="0" t="s">
        <v>15</v>
      </c>
      <c r="D138" s="4" t="str">
        <f aca="false">J29</f>
        <v>Orçamento executivo</v>
      </c>
      <c r="G138" s="15" t="s">
        <v>57</v>
      </c>
      <c r="J138" s="10" t="n">
        <f aca="false">J137-J136</f>
        <v>-46249.83</v>
      </c>
    </row>
    <row r="139" customFormat="false" ht="15" hidden="false" customHeight="false" outlineLevel="0" collapsed="false">
      <c r="C139" s="0" t="s">
        <v>58</v>
      </c>
      <c r="D139" s="16" t="n">
        <f aca="false">E26</f>
        <v>45931</v>
      </c>
      <c r="G139" s="15" t="s">
        <v>59</v>
      </c>
    </row>
    <row r="140" customFormat="false" ht="15" hidden="false" customHeight="false" outlineLevel="0" collapsed="false">
      <c r="C140" s="0" t="s">
        <v>60</v>
      </c>
      <c r="D140" s="17" t="n">
        <f aca="false">F31</f>
        <v>0.0429</v>
      </c>
    </row>
    <row r="141" customFormat="false" ht="15" hidden="false" customHeight="false" outlineLevel="0" collapsed="false">
      <c r="C141" s="0" t="s">
        <v>61</v>
      </c>
      <c r="D141" s="17" t="n">
        <f aca="false">F33</f>
        <v>0.0385</v>
      </c>
    </row>
    <row r="142" customFormat="false" ht="15" hidden="false" customHeight="false" outlineLevel="0" collapsed="false">
      <c r="C142" s="0" t="s">
        <v>62</v>
      </c>
      <c r="D142" s="17" t="n">
        <f aca="false">F35</f>
        <v>0.2292</v>
      </c>
    </row>
    <row r="143" customFormat="false" ht="15" hidden="false" customHeight="false" outlineLevel="0" collapsed="false">
      <c r="C143" s="0" t="s">
        <v>63</v>
      </c>
      <c r="D143" s="17" t="n">
        <f aca="false">F37</f>
        <v>0.1912</v>
      </c>
    </row>
    <row r="145" customFormat="false" ht="15" hidden="false" customHeight="false" outlineLevel="0" collapsed="false">
      <c r="B145" s="0" t="s">
        <v>64</v>
      </c>
      <c r="C145" s="0" t="s">
        <v>65</v>
      </c>
      <c r="D145" s="10" t="n">
        <f aca="false">F39</f>
        <v>3590456.848</v>
      </c>
      <c r="E145" s="18" t="n">
        <f aca="false">D145/$D$137</f>
        <v>0.1912</v>
      </c>
    </row>
    <row r="146" customFormat="false" ht="15" hidden="false" customHeight="false" outlineLevel="0" collapsed="false">
      <c r="B146" s="0" t="s">
        <v>66</v>
      </c>
      <c r="C146" s="0" t="s">
        <v>32</v>
      </c>
      <c r="D146" s="10" t="n">
        <f aca="false">F41</f>
        <v>0</v>
      </c>
      <c r="E146" s="18" t="n">
        <f aca="false">D146/$D$137</f>
        <v>0</v>
      </c>
    </row>
    <row r="147" customFormat="false" ht="15" hidden="false" customHeight="false" outlineLevel="0" collapsed="false">
      <c r="B147" s="0" t="s">
        <v>67</v>
      </c>
      <c r="C147" s="0" t="s">
        <v>35</v>
      </c>
      <c r="D147" s="10" t="n">
        <f aca="false">F43</f>
        <v>0</v>
      </c>
      <c r="E147" s="18" t="n">
        <f aca="false">D147/$D$137</f>
        <v>0</v>
      </c>
    </row>
    <row r="148" customFormat="false" ht="15" hidden="false" customHeight="false" outlineLevel="0" collapsed="false">
      <c r="B148" s="0" t="s">
        <v>68</v>
      </c>
      <c r="C148" s="0" t="s">
        <v>33</v>
      </c>
      <c r="D148" s="10" t="n">
        <f aca="false">F45</f>
        <v>0</v>
      </c>
      <c r="E148" s="18" t="n">
        <f aca="false">D148/$D$137</f>
        <v>0</v>
      </c>
    </row>
    <row r="149" customFormat="false" ht="15" hidden="false" customHeight="false" outlineLevel="0" collapsed="false">
      <c r="B149" s="0" t="s">
        <v>69</v>
      </c>
      <c r="C149" s="0" t="s">
        <v>36</v>
      </c>
      <c r="D149" s="10" t="n">
        <f aca="false">F47</f>
        <v>110912.49</v>
      </c>
      <c r="E149" s="18" t="n">
        <f aca="false">D149/$D$137</f>
        <v>0.00590634255911269</v>
      </c>
    </row>
    <row r="150" customFormat="false" ht="15" hidden="false" customHeight="false" outlineLevel="0" collapsed="false">
      <c r="B150" s="0" t="s">
        <v>70</v>
      </c>
      <c r="C150" s="0" t="s">
        <v>71</v>
      </c>
      <c r="D150" s="10" t="n">
        <f aca="false">F49</f>
        <v>62500</v>
      </c>
      <c r="E150" s="18" t="n">
        <f aca="false">D150/$D$137</f>
        <v>0.00332826726678432</v>
      </c>
    </row>
    <row r="151" customFormat="false" ht="15" hidden="false" customHeight="false" outlineLevel="0" collapsed="false">
      <c r="B151" s="0" t="s">
        <v>72</v>
      </c>
      <c r="C151" s="0" t="s">
        <v>73</v>
      </c>
      <c r="D151" s="10" t="n">
        <f aca="false">F51</f>
        <v>0</v>
      </c>
      <c r="E151" s="18" t="n">
        <f aca="false">D151/$D$137</f>
        <v>0</v>
      </c>
    </row>
    <row r="152" customFormat="false" ht="15" hidden="false" customHeight="false" outlineLevel="0" collapsed="false">
      <c r="B152" s="0" t="s">
        <v>74</v>
      </c>
      <c r="C152" s="0" t="s">
        <v>45</v>
      </c>
      <c r="D152" s="10" t="n">
        <f aca="false">F53</f>
        <v>169559.13</v>
      </c>
      <c r="E152" s="18" t="n">
        <f aca="false">D152/$D$137</f>
        <v>0.00902940963461483</v>
      </c>
    </row>
    <row r="153" customFormat="false" ht="15" hidden="false" customHeight="false" outlineLevel="0" collapsed="false">
      <c r="B153" s="0" t="s">
        <v>75</v>
      </c>
      <c r="C153" s="0" t="s">
        <v>76</v>
      </c>
      <c r="D153" s="10" t="n">
        <f aca="false">F56</f>
        <v>3562895.11</v>
      </c>
      <c r="E153" s="18" t="n">
        <f aca="false">D153/$D$137</f>
        <v>0.189732274713583</v>
      </c>
    </row>
    <row r="154" customFormat="false" ht="15" hidden="false" customHeight="false" outlineLevel="0" collapsed="false">
      <c r="B154" s="0" t="s">
        <v>77</v>
      </c>
      <c r="C154" s="0" t="s">
        <v>50</v>
      </c>
      <c r="D154" s="10" t="n">
        <f aca="false">F58</f>
        <v>0</v>
      </c>
      <c r="E154" s="18" t="n">
        <f aca="false">D154/$D$137</f>
        <v>0</v>
      </c>
    </row>
    <row r="155" customFormat="false" ht="15" hidden="false" customHeight="false" outlineLevel="0" collapsed="false">
      <c r="C155" s="12" t="s">
        <v>78</v>
      </c>
      <c r="D155" s="13" t="n">
        <f aca="false">D145+D146+D147+D148+D149+D150+D151-D152-D153-D154</f>
        <v>31415.0980000007</v>
      </c>
      <c r="E155" s="19" t="n">
        <f aca="false">D155/D137</f>
        <v>0.00167292547769958</v>
      </c>
    </row>
    <row r="156" customFormat="false" ht="15" hidden="false" customHeight="false" outlineLevel="0" collapsed="false">
      <c r="C156" s="0" t="s">
        <v>79</v>
      </c>
      <c r="D156" s="10" t="n">
        <f aca="false">SET25!D155</f>
        <v>39471.8500000001</v>
      </c>
      <c r="E156" s="17" t="n">
        <f aca="false">SET25!E155</f>
        <v>0.00211079411764706</v>
      </c>
    </row>
    <row r="160" customFormat="false" ht="15" hidden="false" customHeight="false" outlineLevel="0" collapsed="false">
      <c r="B160" s="12" t="s">
        <v>80</v>
      </c>
    </row>
    <row r="162" customFormat="false" ht="15" hidden="false" customHeight="false" outlineLevel="0" collapsed="false">
      <c r="B162" s="12" t="s">
        <v>81</v>
      </c>
    </row>
    <row r="163" customFormat="false" ht="15" hidden="false" customHeight="false" outlineLevel="0" collapsed="false">
      <c r="B163" s="0" t="s">
        <v>82</v>
      </c>
    </row>
    <row r="164" customFormat="false" ht="15" hidden="false" customHeight="false" outlineLevel="0" collapsed="false">
      <c r="B164" s="12" t="s">
        <v>83</v>
      </c>
    </row>
    <row r="165" customFormat="false" ht="15" hidden="false" customHeight="false" outlineLevel="0" collapsed="false">
      <c r="B165" s="0" t="s">
        <v>84</v>
      </c>
    </row>
    <row r="166" customFormat="false" ht="15" hidden="false" customHeight="false" outlineLevel="0" collapsed="false">
      <c r="B166" s="12" t="s">
        <v>85</v>
      </c>
    </row>
    <row r="167" customFormat="false" ht="15" hidden="false" customHeight="false" outlineLevel="0" collapsed="false">
      <c r="B167" s="0" t="s">
        <v>86</v>
      </c>
    </row>
    <row r="168" customFormat="false" ht="15" hidden="false" customHeight="false" outlineLevel="0" collapsed="false">
      <c r="B168" s="12" t="s">
        <v>87</v>
      </c>
    </row>
    <row r="169" customFormat="false" ht="15" hidden="false" customHeight="false" outlineLevel="0" collapsed="false">
      <c r="B169" s="0" t="s">
        <v>88</v>
      </c>
    </row>
    <row r="170" customFormat="false" ht="15" hidden="false" customHeight="false" outlineLevel="0" collapsed="false">
      <c r="B170" s="12" t="s">
        <v>89</v>
      </c>
    </row>
    <row r="171" customFormat="false" ht="15" hidden="false" customHeight="false" outlineLevel="0" collapsed="false">
      <c r="B171" s="0" t="s">
        <v>90</v>
      </c>
    </row>
    <row r="172" customFormat="false" ht="15" hidden="false" customHeight="false" outlineLevel="0" collapsed="false">
      <c r="B172" s="12" t="s">
        <v>91</v>
      </c>
    </row>
    <row r="173" customFormat="false" ht="15" hidden="false" customHeight="false" outlineLevel="0" collapsed="false">
      <c r="B173" s="0" t="s">
        <v>92</v>
      </c>
    </row>
    <row r="174" customFormat="false" ht="15" hidden="false" customHeight="false" outlineLevel="0" collapsed="false">
      <c r="B174" s="12" t="s">
        <v>93</v>
      </c>
    </row>
    <row r="175" customFormat="false" ht="15" hidden="false" customHeight="false" outlineLevel="0" collapsed="false">
      <c r="B175" s="0" t="s">
        <v>94</v>
      </c>
    </row>
    <row r="176" customFormat="false" ht="15" hidden="false" customHeight="false" outlineLevel="0" collapsed="false">
      <c r="B176" s="12" t="s">
        <v>95</v>
      </c>
    </row>
    <row r="177" customFormat="false" ht="15" hidden="false" customHeight="false" outlineLevel="0" collapsed="false">
      <c r="B177" s="0" t="s">
        <v>96</v>
      </c>
    </row>
    <row r="178" customFormat="false" ht="15" hidden="false" customHeight="false" outlineLevel="0" collapsed="false">
      <c r="B178" s="12" t="s">
        <v>97</v>
      </c>
    </row>
    <row r="179" customFormat="false" ht="15" hidden="false" customHeight="false" outlineLevel="0" collapsed="false">
      <c r="B179" s="0" t="s">
        <v>98</v>
      </c>
    </row>
    <row r="180" customFormat="false" ht="15" hidden="false" customHeight="false" outlineLevel="0" collapsed="false">
      <c r="B180" s="12" t="s">
        <v>99</v>
      </c>
    </row>
    <row r="181" customFormat="false" ht="15" hidden="false" customHeight="false" outlineLevel="0" collapsed="false">
      <c r="B181" s="0" t="s">
        <v>100</v>
      </c>
    </row>
  </sheetData>
  <printOptions headings="false" gridLines="false" gridLinesSet="true" horizontalCentered="false" verticalCentered="false"/>
  <pageMargins left="0.75" right="0.75" top="1" bottom="1" header="0.511811023622047" footer="0.511811023622047"/>
  <pageSetup paperSize="9" scale="100" fitToWidth="1" fitToHeight="1" pageOrder="downThenOver" orientation="portrait" blackAndWhite="false" draft="false" cellComments="none" horizontalDpi="300" verticalDpi="300" copies="1"/>
  <headerFooter differentFirst="false" differentOddEven="false">
    <oddHeader/>
    <oddFooter/>
  </headerFooter>
</worksheet>
</file>

<file path=xl/worksheets/sheet4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r2="http://schemas.microsoft.com/office/spreadsheetml/2015/revision2" xmlns:mc="http://schemas.openxmlformats.org/markup-compatibility/2006">
  <sheetPr filterMode="false">
    <pageSetUpPr fitToPage="false"/>
  </sheetPr>
  <dimension ref="B2:J181"/>
  <sheetViews>
    <sheetView showFormulas="false" showGridLines="true" showRowColHeaders="true" showZeros="true" rightToLeft="false" tabSelected="false" showOutlineSymbols="true" defaultGridColor="true" view="normal" topLeftCell="A1" colorId="64" zoomScale="100" zoomScaleNormal="100" zoomScalePageLayoutView="100" workbookViewId="0">
      <selection pane="topLeft" activeCell="A1" activeCellId="0" sqref="A1"/>
    </sheetView>
  </sheetViews>
  <sheetFormatPr defaultColWidth="8.6796875" defaultRowHeight="15" zeroHeight="false" outlineLevelRow="0" outlineLevelCol="0"/>
  <cols>
    <col collapsed="false" customWidth="true" hidden="false" outlineLevel="0" max="1" min="1" style="0" width="3"/>
    <col collapsed="false" customWidth="true" hidden="false" outlineLevel="0" max="2" min="2" style="0" width="46"/>
    <col collapsed="false" customWidth="true" hidden="false" outlineLevel="0" max="3" min="3" style="0" width="30"/>
    <col collapsed="false" customWidth="true" hidden="false" outlineLevel="0" max="6" min="4" style="0" width="18"/>
    <col collapsed="false" customWidth="true" hidden="false" outlineLevel="0" max="7" min="7" style="0" width="44"/>
    <col collapsed="false" customWidth="true" hidden="false" outlineLevel="0" max="9" min="8" style="0" width="12"/>
    <col collapsed="false" customWidth="true" hidden="false" outlineLevel="0" max="10" min="10" style="0" width="18"/>
  </cols>
  <sheetData>
    <row r="2" customFormat="false" ht="17.35" hidden="false" customHeight="false" outlineLevel="0" collapsed="false">
      <c r="B2" s="1" t="s">
        <v>4</v>
      </c>
    </row>
    <row r="3" customFormat="false" ht="15" hidden="false" customHeight="false" outlineLevel="0" collapsed="false">
      <c r="B3" s="0" t="s">
        <v>5</v>
      </c>
    </row>
    <row r="4" customFormat="false" ht="15" hidden="false" customHeight="false" outlineLevel="0" collapsed="false">
      <c r="B4" s="0" t="s">
        <v>6</v>
      </c>
    </row>
    <row r="18" customFormat="false" ht="15" hidden="false" customHeight="false" outlineLevel="0" collapsed="false">
      <c r="B18" s="3" t="s">
        <v>7</v>
      </c>
    </row>
    <row r="19" customFormat="false" ht="15" hidden="false" customHeight="false" outlineLevel="0" collapsed="false">
      <c r="B19" s="4" t="s">
        <v>8</v>
      </c>
    </row>
    <row r="20" customFormat="false" ht="15" hidden="false" customHeight="false" outlineLevel="0" collapsed="false">
      <c r="B20" s="5" t="s">
        <v>9</v>
      </c>
    </row>
    <row r="21" customFormat="false" ht="15" hidden="false" customHeight="false" outlineLevel="0" collapsed="false">
      <c r="B21" s="6" t="s">
        <v>10</v>
      </c>
    </row>
    <row r="24" customFormat="false" ht="15" hidden="false" customHeight="false" outlineLevel="0" collapsed="false">
      <c r="B24" s="0" t="s">
        <v>11</v>
      </c>
      <c r="D24" s="3" t="s">
        <v>12</v>
      </c>
    </row>
    <row r="26" customFormat="false" ht="15" hidden="false" customHeight="false" outlineLevel="0" collapsed="false">
      <c r="B26" s="0" t="s">
        <v>13</v>
      </c>
      <c r="E26" s="7" t="n">
        <v>45962</v>
      </c>
    </row>
    <row r="28" customFormat="false" ht="15" hidden="false" customHeight="false" outlineLevel="0" collapsed="false">
      <c r="B28" s="0" t="s">
        <v>14</v>
      </c>
      <c r="J28" s="8" t="n">
        <v>18857080</v>
      </c>
    </row>
    <row r="29" customFormat="false" ht="15" hidden="false" customHeight="false" outlineLevel="0" collapsed="false">
      <c r="B29" s="0" t="s">
        <v>15</v>
      </c>
      <c r="J29" s="3" t="s">
        <v>16</v>
      </c>
    </row>
    <row r="31" customFormat="false" ht="15" hidden="false" customHeight="false" outlineLevel="0" collapsed="false">
      <c r="B31" s="0" t="s">
        <v>17</v>
      </c>
      <c r="F31" s="9" t="n">
        <v>0.0455</v>
      </c>
    </row>
    <row r="33" customFormat="false" ht="15" hidden="false" customHeight="false" outlineLevel="0" collapsed="false">
      <c r="B33" s="0" t="s">
        <v>18</v>
      </c>
      <c r="F33" s="9" t="n">
        <v>0.0414</v>
      </c>
    </row>
    <row r="35" customFormat="false" ht="15" hidden="false" customHeight="false" outlineLevel="0" collapsed="false">
      <c r="B35" s="0" t="s">
        <v>19</v>
      </c>
      <c r="F35" s="9" t="n">
        <v>0.2747</v>
      </c>
    </row>
    <row r="37" customFormat="false" ht="15" hidden="false" customHeight="false" outlineLevel="0" collapsed="false">
      <c r="B37" s="0" t="s">
        <v>20</v>
      </c>
      <c r="F37" s="9" t="n">
        <v>0.2326</v>
      </c>
    </row>
    <row r="39" customFormat="false" ht="15" hidden="false" customHeight="false" outlineLevel="0" collapsed="false">
      <c r="B39" s="0" t="s">
        <v>21</v>
      </c>
      <c r="F39" s="10" t="n">
        <f aca="false">F37*J28</f>
        <v>4386156.808</v>
      </c>
    </row>
    <row r="41" customFormat="false" ht="15" hidden="false" customHeight="false" outlineLevel="0" collapsed="false">
      <c r="B41" s="0" t="s">
        <v>22</v>
      </c>
      <c r="F41" s="10" t="n">
        <f aca="false">E74</f>
        <v>0</v>
      </c>
    </row>
    <row r="43" customFormat="false" ht="15" hidden="false" customHeight="false" outlineLevel="0" collapsed="false">
      <c r="B43" s="0" t="s">
        <v>23</v>
      </c>
      <c r="F43" s="10" t="n">
        <f aca="false">E88</f>
        <v>0</v>
      </c>
    </row>
    <row r="45" customFormat="false" ht="15" hidden="false" customHeight="false" outlineLevel="0" collapsed="false">
      <c r="B45" s="0" t="s">
        <v>24</v>
      </c>
      <c r="F45" s="10" t="n">
        <f aca="false">J74</f>
        <v>0</v>
      </c>
    </row>
    <row r="47" customFormat="false" ht="15" hidden="false" customHeight="false" outlineLevel="0" collapsed="false">
      <c r="B47" s="0" t="s">
        <v>25</v>
      </c>
      <c r="F47" s="10" t="n">
        <f aca="false">J88</f>
        <v>194598.86</v>
      </c>
    </row>
    <row r="49" customFormat="false" ht="15" hidden="false" customHeight="false" outlineLevel="0" collapsed="false">
      <c r="B49" s="0" t="s">
        <v>26</v>
      </c>
      <c r="F49" s="10" t="n">
        <f aca="false">E102</f>
        <v>62500</v>
      </c>
    </row>
    <row r="51" customFormat="false" ht="15" hidden="false" customHeight="false" outlineLevel="0" collapsed="false">
      <c r="B51" s="0" t="s">
        <v>27</v>
      </c>
      <c r="F51" s="10" t="n">
        <f aca="false">J102</f>
        <v>0</v>
      </c>
    </row>
    <row r="53" customFormat="false" ht="15" hidden="false" customHeight="false" outlineLevel="0" collapsed="false">
      <c r="B53" s="0" t="s">
        <v>28</v>
      </c>
      <c r="F53" s="10" t="n">
        <f aca="false">E115</f>
        <v>166410.88</v>
      </c>
    </row>
    <row r="55" customFormat="false" ht="15" hidden="false" customHeight="false" outlineLevel="0" collapsed="false">
      <c r="B55" s="0" t="s">
        <v>29</v>
      </c>
      <c r="F55" s="8" t="n">
        <v>4454923.2</v>
      </c>
    </row>
    <row r="56" customFormat="false" ht="15" hidden="false" customHeight="false" outlineLevel="0" collapsed="false">
      <c r="B56" s="0" t="s">
        <v>30</v>
      </c>
      <c r="F56" s="10" t="n">
        <f aca="false">F55-J115</f>
        <v>4454923.2</v>
      </c>
    </row>
    <row r="58" customFormat="false" ht="15" hidden="false" customHeight="false" outlineLevel="0" collapsed="false">
      <c r="B58" s="0" t="s">
        <v>31</v>
      </c>
      <c r="F58" s="10" t="n">
        <f aca="false">E129</f>
        <v>0</v>
      </c>
    </row>
    <row r="63" customFormat="false" ht="15" hidden="false" customHeight="false" outlineLevel="0" collapsed="false">
      <c r="B63" s="11" t="s">
        <v>32</v>
      </c>
      <c r="G63" s="11" t="s">
        <v>33</v>
      </c>
    </row>
    <row r="74" customFormat="false" ht="15" hidden="false" customHeight="false" outlineLevel="0" collapsed="false">
      <c r="B74" s="12" t="s">
        <v>34</v>
      </c>
      <c r="E74" s="13" t="n">
        <f aca="false">SUM(E64:E73)</f>
        <v>0</v>
      </c>
      <c r="G74" s="12" t="s">
        <v>34</v>
      </c>
      <c r="J74" s="13" t="n">
        <f aca="false">SUM(J64:J73)</f>
        <v>0</v>
      </c>
    </row>
    <row r="77" customFormat="false" ht="15" hidden="false" customHeight="false" outlineLevel="0" collapsed="false">
      <c r="B77" s="11" t="s">
        <v>35</v>
      </c>
      <c r="G77" s="11" t="s">
        <v>36</v>
      </c>
    </row>
    <row r="78" customFormat="false" ht="15" hidden="false" customHeight="false" outlineLevel="0" collapsed="false">
      <c r="G78" s="0" t="s">
        <v>104</v>
      </c>
      <c r="J78" s="14" t="n">
        <v>56644.72</v>
      </c>
    </row>
    <row r="79" customFormat="false" ht="15" hidden="false" customHeight="false" outlineLevel="0" collapsed="false">
      <c r="G79" s="0" t="s">
        <v>105</v>
      </c>
      <c r="J79" s="14" t="n">
        <v>49132.24</v>
      </c>
    </row>
    <row r="80" customFormat="false" ht="15" hidden="false" customHeight="false" outlineLevel="0" collapsed="false">
      <c r="G80" s="0" t="s">
        <v>106</v>
      </c>
      <c r="J80" s="14" t="n">
        <v>52903.26</v>
      </c>
    </row>
    <row r="81" customFormat="false" ht="15" hidden="false" customHeight="false" outlineLevel="0" collapsed="false">
      <c r="G81" s="0" t="s">
        <v>107</v>
      </c>
      <c r="J81" s="14" t="n">
        <v>35918.64</v>
      </c>
    </row>
    <row r="88" customFormat="false" ht="15" hidden="false" customHeight="false" outlineLevel="0" collapsed="false">
      <c r="B88" s="12" t="s">
        <v>34</v>
      </c>
      <c r="E88" s="13" t="n">
        <f aca="false">SUM(E78:E87)</f>
        <v>0</v>
      </c>
      <c r="G88" s="12" t="s">
        <v>34</v>
      </c>
      <c r="J88" s="13" t="n">
        <f aca="false">SUM(J78:J87)</f>
        <v>194598.86</v>
      </c>
    </row>
    <row r="91" customFormat="false" ht="15" hidden="false" customHeight="false" outlineLevel="0" collapsed="false">
      <c r="B91" s="11" t="s">
        <v>40</v>
      </c>
      <c r="G91" s="11" t="s">
        <v>41</v>
      </c>
    </row>
    <row r="92" customFormat="false" ht="15" hidden="false" customHeight="false" outlineLevel="0" collapsed="false">
      <c r="B92" s="0" t="s">
        <v>42</v>
      </c>
      <c r="E92" s="14" t="n">
        <v>9800</v>
      </c>
    </row>
    <row r="93" customFormat="false" ht="15" hidden="false" customHeight="false" outlineLevel="0" collapsed="false">
      <c r="B93" s="0" t="s">
        <v>43</v>
      </c>
      <c r="E93" s="14" t="n">
        <v>38500</v>
      </c>
    </row>
    <row r="94" customFormat="false" ht="15" hidden="false" customHeight="false" outlineLevel="0" collapsed="false">
      <c r="B94" s="0" t="s">
        <v>44</v>
      </c>
      <c r="E94" s="14" t="n">
        <v>14200</v>
      </c>
    </row>
    <row r="102" customFormat="false" ht="15" hidden="false" customHeight="false" outlineLevel="0" collapsed="false">
      <c r="B102" s="12" t="s">
        <v>34</v>
      </c>
      <c r="E102" s="13" t="n">
        <f aca="false">SUM(E92:E101)</f>
        <v>62500</v>
      </c>
      <c r="G102" s="12" t="s">
        <v>34</v>
      </c>
      <c r="J102" s="13" t="n">
        <f aca="false">SUM(J92:J101)</f>
        <v>0</v>
      </c>
    </row>
    <row r="105" customFormat="false" ht="15" hidden="false" customHeight="false" outlineLevel="0" collapsed="false">
      <c r="B105" s="11" t="s">
        <v>45</v>
      </c>
      <c r="G105" s="11" t="s">
        <v>46</v>
      </c>
    </row>
    <row r="106" customFormat="false" ht="15" hidden="false" customHeight="false" outlineLevel="0" collapsed="false">
      <c r="B106" s="0" t="s">
        <v>108</v>
      </c>
      <c r="E106" s="14" t="n">
        <v>28641.01</v>
      </c>
    </row>
    <row r="107" customFormat="false" ht="15" hidden="false" customHeight="false" outlineLevel="0" collapsed="false">
      <c r="B107" s="0" t="s">
        <v>109</v>
      </c>
      <c r="E107" s="14" t="n">
        <v>59643.75</v>
      </c>
    </row>
    <row r="108" customFormat="false" ht="15" hidden="false" customHeight="false" outlineLevel="0" collapsed="false">
      <c r="B108" s="0" t="s">
        <v>110</v>
      </c>
      <c r="E108" s="14" t="n">
        <v>30692.65</v>
      </c>
    </row>
    <row r="109" customFormat="false" ht="15" hidden="false" customHeight="false" outlineLevel="0" collapsed="false">
      <c r="B109" s="0" t="s">
        <v>111</v>
      </c>
      <c r="E109" s="14" t="n">
        <v>47433.47</v>
      </c>
    </row>
    <row r="115" customFormat="false" ht="15" hidden="false" customHeight="false" outlineLevel="0" collapsed="false">
      <c r="B115" s="12" t="s">
        <v>34</v>
      </c>
      <c r="E115" s="13" t="n">
        <f aca="false">SUM(E106:E114)</f>
        <v>166410.88</v>
      </c>
      <c r="G115" s="12" t="s">
        <v>34</v>
      </c>
      <c r="J115" s="13" t="n">
        <f aca="false">SUM(J106:J114)</f>
        <v>0</v>
      </c>
    </row>
    <row r="118" customFormat="false" ht="15" hidden="false" customHeight="false" outlineLevel="0" collapsed="false">
      <c r="B118" s="11" t="s">
        <v>50</v>
      </c>
    </row>
    <row r="129" customFormat="false" ht="15" hidden="false" customHeight="false" outlineLevel="0" collapsed="false">
      <c r="B129" s="12" t="s">
        <v>34</v>
      </c>
      <c r="E129" s="13" t="n">
        <f aca="false">SUM(E119:E128)</f>
        <v>0</v>
      </c>
    </row>
    <row r="132" customFormat="false" ht="17.35" hidden="false" customHeight="false" outlineLevel="0" collapsed="false">
      <c r="B132" s="1" t="s">
        <v>51</v>
      </c>
    </row>
    <row r="135" customFormat="false" ht="15" hidden="false" customHeight="false" outlineLevel="0" collapsed="false">
      <c r="G135" s="12" t="s">
        <v>52</v>
      </c>
    </row>
    <row r="136" customFormat="false" ht="15" hidden="false" customHeight="false" outlineLevel="0" collapsed="false">
      <c r="C136" s="0" t="s">
        <v>53</v>
      </c>
      <c r="D136" s="4" t="str">
        <f aca="false">D24</f>
        <v>POTENGI</v>
      </c>
      <c r="G136" s="15" t="s">
        <v>54</v>
      </c>
      <c r="J136" s="8" t="n">
        <v>926768.39</v>
      </c>
    </row>
    <row r="137" customFormat="false" ht="15" hidden="false" customHeight="false" outlineLevel="0" collapsed="false">
      <c r="C137" s="0" t="s">
        <v>55</v>
      </c>
      <c r="D137" s="10" t="n">
        <f aca="false">J28</f>
        <v>18857080</v>
      </c>
      <c r="G137" s="15" t="s">
        <v>56</v>
      </c>
      <c r="J137" s="8" t="n">
        <v>892028.09</v>
      </c>
    </row>
    <row r="138" customFormat="false" ht="15" hidden="false" customHeight="false" outlineLevel="0" collapsed="false">
      <c r="C138" s="0" t="s">
        <v>15</v>
      </c>
      <c r="D138" s="4" t="str">
        <f aca="false">J29</f>
        <v>Orçamento executivo</v>
      </c>
      <c r="G138" s="15" t="s">
        <v>57</v>
      </c>
      <c r="J138" s="10" t="n">
        <f aca="false">J137-J136</f>
        <v>-34740.3000000001</v>
      </c>
    </row>
    <row r="139" customFormat="false" ht="15" hidden="false" customHeight="false" outlineLevel="0" collapsed="false">
      <c r="C139" s="0" t="s">
        <v>58</v>
      </c>
      <c r="D139" s="16" t="n">
        <f aca="false">E26</f>
        <v>45962</v>
      </c>
      <c r="G139" s="15" t="s">
        <v>59</v>
      </c>
    </row>
    <row r="140" customFormat="false" ht="15" hidden="false" customHeight="false" outlineLevel="0" collapsed="false">
      <c r="C140" s="0" t="s">
        <v>60</v>
      </c>
      <c r="D140" s="17" t="n">
        <f aca="false">F31</f>
        <v>0.0455</v>
      </c>
    </row>
    <row r="141" customFormat="false" ht="15" hidden="false" customHeight="false" outlineLevel="0" collapsed="false">
      <c r="C141" s="0" t="s">
        <v>61</v>
      </c>
      <c r="D141" s="17" t="n">
        <f aca="false">F33</f>
        <v>0.0414</v>
      </c>
    </row>
    <row r="142" customFormat="false" ht="15" hidden="false" customHeight="false" outlineLevel="0" collapsed="false">
      <c r="C142" s="0" t="s">
        <v>62</v>
      </c>
      <c r="D142" s="17" t="n">
        <f aca="false">F35</f>
        <v>0.2747</v>
      </c>
    </row>
    <row r="143" customFormat="false" ht="15" hidden="false" customHeight="false" outlineLevel="0" collapsed="false">
      <c r="C143" s="0" t="s">
        <v>63</v>
      </c>
      <c r="D143" s="17" t="n">
        <f aca="false">F37</f>
        <v>0.2326</v>
      </c>
    </row>
    <row r="145" customFormat="false" ht="15" hidden="false" customHeight="false" outlineLevel="0" collapsed="false">
      <c r="B145" s="0" t="s">
        <v>64</v>
      </c>
      <c r="C145" s="0" t="s">
        <v>65</v>
      </c>
      <c r="D145" s="10" t="n">
        <f aca="false">F39</f>
        <v>4386156.808</v>
      </c>
      <c r="E145" s="18" t="n">
        <f aca="false">D145/$D$137</f>
        <v>0.2326</v>
      </c>
    </row>
    <row r="146" customFormat="false" ht="15" hidden="false" customHeight="false" outlineLevel="0" collapsed="false">
      <c r="B146" s="0" t="s">
        <v>66</v>
      </c>
      <c r="C146" s="0" t="s">
        <v>32</v>
      </c>
      <c r="D146" s="10" t="n">
        <f aca="false">F41</f>
        <v>0</v>
      </c>
      <c r="E146" s="18" t="n">
        <f aca="false">D146/$D$137</f>
        <v>0</v>
      </c>
    </row>
    <row r="147" customFormat="false" ht="15" hidden="false" customHeight="false" outlineLevel="0" collapsed="false">
      <c r="B147" s="0" t="s">
        <v>67</v>
      </c>
      <c r="C147" s="0" t="s">
        <v>35</v>
      </c>
      <c r="D147" s="10" t="n">
        <f aca="false">F43</f>
        <v>0</v>
      </c>
      <c r="E147" s="18" t="n">
        <f aca="false">D147/$D$137</f>
        <v>0</v>
      </c>
    </row>
    <row r="148" customFormat="false" ht="15" hidden="false" customHeight="false" outlineLevel="0" collapsed="false">
      <c r="B148" s="0" t="s">
        <v>68</v>
      </c>
      <c r="C148" s="0" t="s">
        <v>33</v>
      </c>
      <c r="D148" s="10" t="n">
        <f aca="false">F45</f>
        <v>0</v>
      </c>
      <c r="E148" s="18" t="n">
        <f aca="false">D148/$D$137</f>
        <v>0</v>
      </c>
    </row>
    <row r="149" customFormat="false" ht="15" hidden="false" customHeight="false" outlineLevel="0" collapsed="false">
      <c r="B149" s="0" t="s">
        <v>69</v>
      </c>
      <c r="C149" s="0" t="s">
        <v>36</v>
      </c>
      <c r="D149" s="10" t="n">
        <f aca="false">F47</f>
        <v>194598.86</v>
      </c>
      <c r="E149" s="18" t="n">
        <f aca="false">D149/$D$137</f>
        <v>0.0103196709140546</v>
      </c>
    </row>
    <row r="150" customFormat="false" ht="15" hidden="false" customHeight="false" outlineLevel="0" collapsed="false">
      <c r="B150" s="0" t="s">
        <v>70</v>
      </c>
      <c r="C150" s="0" t="s">
        <v>71</v>
      </c>
      <c r="D150" s="10" t="n">
        <f aca="false">F49</f>
        <v>62500</v>
      </c>
      <c r="E150" s="18" t="n">
        <f aca="false">D150/$D$137</f>
        <v>0.00331440498741056</v>
      </c>
    </row>
    <row r="151" customFormat="false" ht="15" hidden="false" customHeight="false" outlineLevel="0" collapsed="false">
      <c r="B151" s="0" t="s">
        <v>72</v>
      </c>
      <c r="C151" s="0" t="s">
        <v>73</v>
      </c>
      <c r="D151" s="10" t="n">
        <f aca="false">F51</f>
        <v>0</v>
      </c>
      <c r="E151" s="18" t="n">
        <f aca="false">D151/$D$137</f>
        <v>0</v>
      </c>
    </row>
    <row r="152" customFormat="false" ht="15" hidden="false" customHeight="false" outlineLevel="0" collapsed="false">
      <c r="B152" s="0" t="s">
        <v>74</v>
      </c>
      <c r="C152" s="0" t="s">
        <v>45</v>
      </c>
      <c r="D152" s="10" t="n">
        <f aca="false">F53</f>
        <v>166410.88</v>
      </c>
      <c r="E152" s="18" t="n">
        <f aca="false">D152/$D$137</f>
        <v>0.0088248488101021</v>
      </c>
    </row>
    <row r="153" customFormat="false" ht="15" hidden="false" customHeight="false" outlineLevel="0" collapsed="false">
      <c r="B153" s="0" t="s">
        <v>75</v>
      </c>
      <c r="C153" s="0" t="s">
        <v>76</v>
      </c>
      <c r="D153" s="10" t="n">
        <f aca="false">F56</f>
        <v>4454923.2</v>
      </c>
      <c r="E153" s="18" t="n">
        <f aca="false">D153/$D$137</f>
        <v>0.236246714761777</v>
      </c>
    </row>
    <row r="154" customFormat="false" ht="15" hidden="false" customHeight="false" outlineLevel="0" collapsed="false">
      <c r="B154" s="0" t="s">
        <v>77</v>
      </c>
      <c r="C154" s="0" t="s">
        <v>50</v>
      </c>
      <c r="D154" s="10" t="n">
        <f aca="false">F58</f>
        <v>0</v>
      </c>
      <c r="E154" s="18" t="n">
        <f aca="false">D154/$D$137</f>
        <v>0</v>
      </c>
    </row>
    <row r="155" customFormat="false" ht="15" hidden="false" customHeight="false" outlineLevel="0" collapsed="false">
      <c r="C155" s="12" t="s">
        <v>78</v>
      </c>
      <c r="D155" s="13" t="n">
        <f aca="false">D145+D146+D147+D148+D149+D150+D151-D152-D153-D154</f>
        <v>21921.5880000005</v>
      </c>
      <c r="E155" s="19" t="n">
        <f aca="false">D155/D137</f>
        <v>0.00116251232958658</v>
      </c>
    </row>
    <row r="156" customFormat="false" ht="15" hidden="false" customHeight="false" outlineLevel="0" collapsed="false">
      <c r="C156" s="0" t="s">
        <v>79</v>
      </c>
      <c r="D156" s="10" t="n">
        <f aca="false">OUT25!D155</f>
        <v>31415.0980000007</v>
      </c>
      <c r="E156" s="17" t="n">
        <f aca="false">OUT25!E155</f>
        <v>0.00167292547769958</v>
      </c>
    </row>
    <row r="160" customFormat="false" ht="15" hidden="false" customHeight="false" outlineLevel="0" collapsed="false">
      <c r="B160" s="12" t="s">
        <v>80</v>
      </c>
    </row>
    <row r="162" customFormat="false" ht="15" hidden="false" customHeight="false" outlineLevel="0" collapsed="false">
      <c r="B162" s="12" t="s">
        <v>81</v>
      </c>
    </row>
    <row r="163" customFormat="false" ht="15" hidden="false" customHeight="false" outlineLevel="0" collapsed="false">
      <c r="B163" s="0" t="s">
        <v>82</v>
      </c>
    </row>
    <row r="164" customFormat="false" ht="15" hidden="false" customHeight="false" outlineLevel="0" collapsed="false">
      <c r="B164" s="12" t="s">
        <v>83</v>
      </c>
    </row>
    <row r="165" customFormat="false" ht="15" hidden="false" customHeight="false" outlineLevel="0" collapsed="false">
      <c r="B165" s="0" t="s">
        <v>84</v>
      </c>
    </row>
    <row r="166" customFormat="false" ht="15" hidden="false" customHeight="false" outlineLevel="0" collapsed="false">
      <c r="B166" s="12" t="s">
        <v>85</v>
      </c>
    </row>
    <row r="167" customFormat="false" ht="15" hidden="false" customHeight="false" outlineLevel="0" collapsed="false">
      <c r="B167" s="0" t="s">
        <v>86</v>
      </c>
    </row>
    <row r="168" customFormat="false" ht="15" hidden="false" customHeight="false" outlineLevel="0" collapsed="false">
      <c r="B168" s="12" t="s">
        <v>87</v>
      </c>
    </row>
    <row r="169" customFormat="false" ht="15" hidden="false" customHeight="false" outlineLevel="0" collapsed="false">
      <c r="B169" s="0" t="s">
        <v>88</v>
      </c>
    </row>
    <row r="170" customFormat="false" ht="15" hidden="false" customHeight="false" outlineLevel="0" collapsed="false">
      <c r="B170" s="12" t="s">
        <v>89</v>
      </c>
    </row>
    <row r="171" customFormat="false" ht="15" hidden="false" customHeight="false" outlineLevel="0" collapsed="false">
      <c r="B171" s="0" t="s">
        <v>90</v>
      </c>
    </row>
    <row r="172" customFormat="false" ht="15" hidden="false" customHeight="false" outlineLevel="0" collapsed="false">
      <c r="B172" s="12" t="s">
        <v>91</v>
      </c>
    </row>
    <row r="173" customFormat="false" ht="15" hidden="false" customHeight="false" outlineLevel="0" collapsed="false">
      <c r="B173" s="0" t="s">
        <v>92</v>
      </c>
    </row>
    <row r="174" customFormat="false" ht="15" hidden="false" customHeight="false" outlineLevel="0" collapsed="false">
      <c r="B174" s="12" t="s">
        <v>93</v>
      </c>
    </row>
    <row r="175" customFormat="false" ht="15" hidden="false" customHeight="false" outlineLevel="0" collapsed="false">
      <c r="B175" s="0" t="s">
        <v>94</v>
      </c>
    </row>
    <row r="176" customFormat="false" ht="15" hidden="false" customHeight="false" outlineLevel="0" collapsed="false">
      <c r="B176" s="12" t="s">
        <v>95</v>
      </c>
    </row>
    <row r="177" customFormat="false" ht="15" hidden="false" customHeight="false" outlineLevel="0" collapsed="false">
      <c r="B177" s="0" t="s">
        <v>96</v>
      </c>
    </row>
    <row r="178" customFormat="false" ht="15" hidden="false" customHeight="false" outlineLevel="0" collapsed="false">
      <c r="B178" s="12" t="s">
        <v>97</v>
      </c>
    </row>
    <row r="179" customFormat="false" ht="15" hidden="false" customHeight="false" outlineLevel="0" collapsed="false">
      <c r="B179" s="0" t="s">
        <v>98</v>
      </c>
    </row>
    <row r="180" customFormat="false" ht="15" hidden="false" customHeight="false" outlineLevel="0" collapsed="false">
      <c r="B180" s="12" t="s">
        <v>99</v>
      </c>
    </row>
    <row r="181" customFormat="false" ht="15" hidden="false" customHeight="false" outlineLevel="0" collapsed="false">
      <c r="B181" s="0" t="s">
        <v>100</v>
      </c>
    </row>
  </sheetData>
  <printOptions headings="false" gridLines="false" gridLinesSet="true" horizontalCentered="false" verticalCentered="false"/>
  <pageMargins left="0.75" right="0.75" top="1" bottom="1" header="0.511811023622047" footer="0.511811023622047"/>
  <pageSetup paperSize="9" scale="100" fitToWidth="1" fitToHeight="1" pageOrder="downThenOver" orientation="portrait" blackAndWhite="false" draft="false" cellComments="none" horizontalDpi="300" verticalDpi="300" copies="1"/>
  <headerFooter differentFirst="false" differentOddEven="false">
    <oddHeader/>
    <oddFooter/>
  </headerFooter>
</worksheet>
</file>

<file path=xl/worksheets/sheet5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r2="http://schemas.microsoft.com/office/spreadsheetml/2015/revision2" xmlns:mc="http://schemas.openxmlformats.org/markup-compatibility/2006">
  <sheetPr filterMode="false">
    <pageSetUpPr fitToPage="false"/>
  </sheetPr>
  <dimension ref="B2:J181"/>
  <sheetViews>
    <sheetView showFormulas="false" showGridLines="true" showRowColHeaders="true" showZeros="true" rightToLeft="false" tabSelected="false" showOutlineSymbols="true" defaultGridColor="true" view="normal" topLeftCell="A1" colorId="64" zoomScale="100" zoomScaleNormal="100" zoomScalePageLayoutView="100" workbookViewId="0">
      <selection pane="topLeft" activeCell="A1" activeCellId="0" sqref="A1"/>
    </sheetView>
  </sheetViews>
  <sheetFormatPr defaultColWidth="8.6796875" defaultRowHeight="15" zeroHeight="false" outlineLevelRow="0" outlineLevelCol="0"/>
  <cols>
    <col collapsed="false" customWidth="true" hidden="false" outlineLevel="0" max="1" min="1" style="0" width="3"/>
    <col collapsed="false" customWidth="true" hidden="false" outlineLevel="0" max="2" min="2" style="0" width="46"/>
    <col collapsed="false" customWidth="true" hidden="false" outlineLevel="0" max="3" min="3" style="0" width="30"/>
    <col collapsed="false" customWidth="true" hidden="false" outlineLevel="0" max="6" min="4" style="0" width="18"/>
    <col collapsed="false" customWidth="true" hidden="false" outlineLevel="0" max="7" min="7" style="0" width="44"/>
    <col collapsed="false" customWidth="true" hidden="false" outlineLevel="0" max="9" min="8" style="0" width="12"/>
    <col collapsed="false" customWidth="true" hidden="false" outlineLevel="0" max="10" min="10" style="0" width="18"/>
  </cols>
  <sheetData>
    <row r="2" customFormat="false" ht="17.35" hidden="false" customHeight="false" outlineLevel="0" collapsed="false">
      <c r="B2" s="1" t="s">
        <v>4</v>
      </c>
    </row>
    <row r="3" customFormat="false" ht="15" hidden="false" customHeight="false" outlineLevel="0" collapsed="false">
      <c r="B3" s="0" t="s">
        <v>5</v>
      </c>
    </row>
    <row r="4" customFormat="false" ht="15" hidden="false" customHeight="false" outlineLevel="0" collapsed="false">
      <c r="B4" s="0" t="s">
        <v>6</v>
      </c>
    </row>
    <row r="18" customFormat="false" ht="15" hidden="false" customHeight="false" outlineLevel="0" collapsed="false">
      <c r="B18" s="3" t="s">
        <v>7</v>
      </c>
    </row>
    <row r="19" customFormat="false" ht="15" hidden="false" customHeight="false" outlineLevel="0" collapsed="false">
      <c r="B19" s="4" t="s">
        <v>8</v>
      </c>
    </row>
    <row r="20" customFormat="false" ht="15" hidden="false" customHeight="false" outlineLevel="0" collapsed="false">
      <c r="B20" s="5" t="s">
        <v>9</v>
      </c>
    </row>
    <row r="21" customFormat="false" ht="15" hidden="false" customHeight="false" outlineLevel="0" collapsed="false">
      <c r="B21" s="6" t="s">
        <v>10</v>
      </c>
    </row>
    <row r="24" customFormat="false" ht="15" hidden="false" customHeight="false" outlineLevel="0" collapsed="false">
      <c r="B24" s="0" t="s">
        <v>11</v>
      </c>
      <c r="D24" s="3" t="s">
        <v>12</v>
      </c>
    </row>
    <row r="26" customFormat="false" ht="15" hidden="false" customHeight="false" outlineLevel="0" collapsed="false">
      <c r="B26" s="0" t="s">
        <v>13</v>
      </c>
      <c r="E26" s="7" t="n">
        <v>45992</v>
      </c>
    </row>
    <row r="28" customFormat="false" ht="15" hidden="false" customHeight="false" outlineLevel="0" collapsed="false">
      <c r="B28" s="0" t="s">
        <v>14</v>
      </c>
      <c r="J28" s="8" t="n">
        <v>18935620</v>
      </c>
    </row>
    <row r="29" customFormat="false" ht="15" hidden="false" customHeight="false" outlineLevel="0" collapsed="false">
      <c r="B29" s="0" t="s">
        <v>15</v>
      </c>
      <c r="J29" s="3" t="s">
        <v>16</v>
      </c>
    </row>
    <row r="31" customFormat="false" ht="15" hidden="false" customHeight="false" outlineLevel="0" collapsed="false">
      <c r="B31" s="0" t="s">
        <v>17</v>
      </c>
      <c r="F31" s="9" t="n">
        <v>0.0478</v>
      </c>
    </row>
    <row r="33" customFormat="false" ht="15" hidden="false" customHeight="false" outlineLevel="0" collapsed="false">
      <c r="B33" s="0" t="s">
        <v>18</v>
      </c>
      <c r="F33" s="9" t="n">
        <v>0.0425</v>
      </c>
    </row>
    <row r="35" customFormat="false" ht="15" hidden="false" customHeight="false" outlineLevel="0" collapsed="false">
      <c r="B35" s="0" t="s">
        <v>19</v>
      </c>
      <c r="F35" s="9" t="n">
        <v>0.3225</v>
      </c>
    </row>
    <row r="37" customFormat="false" ht="15" hidden="false" customHeight="false" outlineLevel="0" collapsed="false">
      <c r="B37" s="0" t="s">
        <v>20</v>
      </c>
      <c r="F37" s="9" t="n">
        <v>0.2751</v>
      </c>
    </row>
    <row r="39" customFormat="false" ht="15" hidden="false" customHeight="false" outlineLevel="0" collapsed="false">
      <c r="B39" s="0" t="s">
        <v>21</v>
      </c>
      <c r="F39" s="10" t="n">
        <f aca="false">F37*J28</f>
        <v>5209189.062</v>
      </c>
    </row>
    <row r="41" customFormat="false" ht="15" hidden="false" customHeight="false" outlineLevel="0" collapsed="false">
      <c r="B41" s="0" t="s">
        <v>22</v>
      </c>
      <c r="F41" s="10" t="n">
        <f aca="false">E74</f>
        <v>0</v>
      </c>
    </row>
    <row r="43" customFormat="false" ht="15" hidden="false" customHeight="false" outlineLevel="0" collapsed="false">
      <c r="B43" s="0" t="s">
        <v>23</v>
      </c>
      <c r="F43" s="10" t="n">
        <f aca="false">E88</f>
        <v>0</v>
      </c>
    </row>
    <row r="45" customFormat="false" ht="15" hidden="false" customHeight="false" outlineLevel="0" collapsed="false">
      <c r="B45" s="0" t="s">
        <v>24</v>
      </c>
      <c r="F45" s="10" t="n">
        <f aca="false">J74</f>
        <v>0</v>
      </c>
    </row>
    <row r="47" customFormat="false" ht="15" hidden="false" customHeight="false" outlineLevel="0" collapsed="false">
      <c r="B47" s="0" t="s">
        <v>25</v>
      </c>
      <c r="F47" s="10" t="n">
        <f aca="false">J88</f>
        <v>196573.81</v>
      </c>
    </row>
    <row r="49" customFormat="false" ht="15" hidden="false" customHeight="false" outlineLevel="0" collapsed="false">
      <c r="B49" s="0" t="s">
        <v>26</v>
      </c>
      <c r="F49" s="10" t="n">
        <f aca="false">E102</f>
        <v>62500</v>
      </c>
    </row>
    <row r="51" customFormat="false" ht="15" hidden="false" customHeight="false" outlineLevel="0" collapsed="false">
      <c r="B51" s="0" t="s">
        <v>27</v>
      </c>
      <c r="F51" s="10" t="n">
        <f aca="false">J102</f>
        <v>0</v>
      </c>
    </row>
    <row r="53" customFormat="false" ht="15" hidden="false" customHeight="false" outlineLevel="0" collapsed="false">
      <c r="B53" s="0" t="s">
        <v>28</v>
      </c>
      <c r="F53" s="10" t="n">
        <f aca="false">E115</f>
        <v>148877.69</v>
      </c>
    </row>
    <row r="55" customFormat="false" ht="15" hidden="false" customHeight="false" outlineLevel="0" collapsed="false">
      <c r="B55" s="0" t="s">
        <v>29</v>
      </c>
      <c r="F55" s="8" t="n">
        <v>5318044.85</v>
      </c>
    </row>
    <row r="56" customFormat="false" ht="15" hidden="false" customHeight="false" outlineLevel="0" collapsed="false">
      <c r="B56" s="0" t="s">
        <v>30</v>
      </c>
      <c r="F56" s="10" t="n">
        <f aca="false">F55-J115</f>
        <v>5308174.85</v>
      </c>
    </row>
    <row r="58" customFormat="false" ht="15" hidden="false" customHeight="false" outlineLevel="0" collapsed="false">
      <c r="B58" s="0" t="s">
        <v>31</v>
      </c>
      <c r="F58" s="10" t="n">
        <f aca="false">E129</f>
        <v>0</v>
      </c>
    </row>
    <row r="63" customFormat="false" ht="15" hidden="false" customHeight="false" outlineLevel="0" collapsed="false">
      <c r="B63" s="11" t="s">
        <v>32</v>
      </c>
      <c r="G63" s="11" t="s">
        <v>33</v>
      </c>
    </row>
    <row r="74" customFormat="false" ht="15" hidden="false" customHeight="false" outlineLevel="0" collapsed="false">
      <c r="B74" s="12" t="s">
        <v>34</v>
      </c>
      <c r="E74" s="13" t="n">
        <f aca="false">SUM(E64:E73)</f>
        <v>0</v>
      </c>
      <c r="G74" s="12" t="s">
        <v>34</v>
      </c>
      <c r="J74" s="13" t="n">
        <f aca="false">SUM(J64:J73)</f>
        <v>0</v>
      </c>
    </row>
    <row r="77" customFormat="false" ht="15" hidden="false" customHeight="false" outlineLevel="0" collapsed="false">
      <c r="B77" s="11" t="s">
        <v>35</v>
      </c>
      <c r="G77" s="11" t="s">
        <v>36</v>
      </c>
    </row>
    <row r="78" customFormat="false" ht="15" hidden="false" customHeight="false" outlineLevel="0" collapsed="false">
      <c r="G78" s="0" t="s">
        <v>104</v>
      </c>
      <c r="J78" s="14" t="n">
        <v>60435.6</v>
      </c>
    </row>
    <row r="79" customFormat="false" ht="15" hidden="false" customHeight="false" outlineLevel="0" collapsed="false">
      <c r="G79" s="0" t="s">
        <v>105</v>
      </c>
      <c r="J79" s="14" t="n">
        <v>66072.57</v>
      </c>
    </row>
    <row r="80" customFormat="false" ht="15" hidden="false" customHeight="false" outlineLevel="0" collapsed="false">
      <c r="G80" s="0" t="s">
        <v>106</v>
      </c>
      <c r="J80" s="14" t="n">
        <v>32195</v>
      </c>
    </row>
    <row r="81" customFormat="false" ht="15" hidden="false" customHeight="false" outlineLevel="0" collapsed="false">
      <c r="G81" s="0" t="s">
        <v>107</v>
      </c>
      <c r="J81" s="14" t="n">
        <v>37870.64</v>
      </c>
    </row>
    <row r="88" customFormat="false" ht="15" hidden="false" customHeight="false" outlineLevel="0" collapsed="false">
      <c r="B88" s="12" t="s">
        <v>34</v>
      </c>
      <c r="E88" s="13" t="n">
        <f aca="false">SUM(E78:E87)</f>
        <v>0</v>
      </c>
      <c r="G88" s="12" t="s">
        <v>34</v>
      </c>
      <c r="J88" s="13" t="n">
        <f aca="false">SUM(J78:J87)</f>
        <v>196573.81</v>
      </c>
    </row>
    <row r="91" customFormat="false" ht="15" hidden="false" customHeight="false" outlineLevel="0" collapsed="false">
      <c r="B91" s="11" t="s">
        <v>40</v>
      </c>
      <c r="G91" s="11" t="s">
        <v>41</v>
      </c>
    </row>
    <row r="92" customFormat="false" ht="15" hidden="false" customHeight="false" outlineLevel="0" collapsed="false">
      <c r="B92" s="0" t="s">
        <v>42</v>
      </c>
      <c r="E92" s="14" t="n">
        <v>9800</v>
      </c>
    </row>
    <row r="93" customFormat="false" ht="15" hidden="false" customHeight="false" outlineLevel="0" collapsed="false">
      <c r="B93" s="0" t="s">
        <v>43</v>
      </c>
      <c r="E93" s="14" t="n">
        <v>38500</v>
      </c>
    </row>
    <row r="94" customFormat="false" ht="15" hidden="false" customHeight="false" outlineLevel="0" collapsed="false">
      <c r="B94" s="0" t="s">
        <v>44</v>
      </c>
      <c r="E94" s="14" t="n">
        <v>14200</v>
      </c>
    </row>
    <row r="102" customFormat="false" ht="15" hidden="false" customHeight="false" outlineLevel="0" collapsed="false">
      <c r="B102" s="12" t="s">
        <v>34</v>
      </c>
      <c r="E102" s="13" t="n">
        <f aca="false">SUM(E92:E101)</f>
        <v>62500</v>
      </c>
      <c r="G102" s="12" t="s">
        <v>34</v>
      </c>
      <c r="J102" s="13" t="n">
        <f aca="false">SUM(J92:J101)</f>
        <v>0</v>
      </c>
    </row>
    <row r="105" customFormat="false" ht="15" hidden="false" customHeight="false" outlineLevel="0" collapsed="false">
      <c r="B105" s="11" t="s">
        <v>45</v>
      </c>
      <c r="G105" s="11" t="s">
        <v>46</v>
      </c>
    </row>
    <row r="106" customFormat="false" ht="15" hidden="false" customHeight="false" outlineLevel="0" collapsed="false">
      <c r="B106" s="0" t="s">
        <v>112</v>
      </c>
      <c r="E106" s="14" t="n">
        <v>44607.42</v>
      </c>
      <c r="G106" s="15" t="s">
        <v>113</v>
      </c>
      <c r="J106" s="14" t="n">
        <v>9870</v>
      </c>
    </row>
    <row r="107" customFormat="false" ht="15" hidden="false" customHeight="false" outlineLevel="0" collapsed="false">
      <c r="B107" s="0" t="s">
        <v>114</v>
      </c>
      <c r="E107" s="14" t="n">
        <v>38362.2</v>
      </c>
    </row>
    <row r="108" customFormat="false" ht="15" hidden="false" customHeight="false" outlineLevel="0" collapsed="false">
      <c r="B108" s="0" t="s">
        <v>115</v>
      </c>
      <c r="E108" s="14" t="n">
        <v>37078.7</v>
      </c>
    </row>
    <row r="109" customFormat="false" ht="15" hidden="false" customHeight="false" outlineLevel="0" collapsed="false">
      <c r="B109" s="0" t="s">
        <v>116</v>
      </c>
      <c r="E109" s="14" t="n">
        <v>28829.37</v>
      </c>
    </row>
    <row r="115" customFormat="false" ht="15" hidden="false" customHeight="false" outlineLevel="0" collapsed="false">
      <c r="B115" s="12" t="s">
        <v>34</v>
      </c>
      <c r="E115" s="13" t="n">
        <f aca="false">SUM(E106:E114)</f>
        <v>148877.69</v>
      </c>
      <c r="G115" s="12" t="s">
        <v>34</v>
      </c>
      <c r="J115" s="13" t="n">
        <f aca="false">SUM(J106:J114)</f>
        <v>9870</v>
      </c>
    </row>
    <row r="118" customFormat="false" ht="15" hidden="false" customHeight="false" outlineLevel="0" collapsed="false">
      <c r="B118" s="11" t="s">
        <v>50</v>
      </c>
    </row>
    <row r="129" customFormat="false" ht="15" hidden="false" customHeight="false" outlineLevel="0" collapsed="false">
      <c r="B129" s="12" t="s">
        <v>34</v>
      </c>
      <c r="E129" s="13" t="n">
        <f aca="false">SUM(E119:E128)</f>
        <v>0</v>
      </c>
    </row>
    <row r="132" customFormat="false" ht="17.35" hidden="false" customHeight="false" outlineLevel="0" collapsed="false">
      <c r="B132" s="1" t="s">
        <v>51</v>
      </c>
    </row>
    <row r="135" customFormat="false" ht="15" hidden="false" customHeight="false" outlineLevel="0" collapsed="false">
      <c r="G135" s="12" t="s">
        <v>52</v>
      </c>
    </row>
    <row r="136" customFormat="false" ht="15" hidden="false" customHeight="false" outlineLevel="0" collapsed="false">
      <c r="C136" s="0" t="s">
        <v>53</v>
      </c>
      <c r="D136" s="4" t="str">
        <f aca="false">D24</f>
        <v>POTENGI</v>
      </c>
      <c r="G136" s="15" t="s">
        <v>54</v>
      </c>
      <c r="J136" s="8" t="n">
        <v>915092.54</v>
      </c>
    </row>
    <row r="137" customFormat="false" ht="15" hidden="false" customHeight="false" outlineLevel="0" collapsed="false">
      <c r="C137" s="0" t="s">
        <v>55</v>
      </c>
      <c r="D137" s="10" t="n">
        <f aca="false">J28</f>
        <v>18935620</v>
      </c>
      <c r="G137" s="15" t="s">
        <v>56</v>
      </c>
      <c r="J137" s="8" t="n">
        <v>863121.65</v>
      </c>
    </row>
    <row r="138" customFormat="false" ht="15" hidden="false" customHeight="false" outlineLevel="0" collapsed="false">
      <c r="C138" s="0" t="s">
        <v>15</v>
      </c>
      <c r="D138" s="4" t="str">
        <f aca="false">J29</f>
        <v>Orçamento executivo</v>
      </c>
      <c r="G138" s="15" t="s">
        <v>57</v>
      </c>
      <c r="J138" s="10" t="n">
        <f aca="false">J137-J136</f>
        <v>-51970.89</v>
      </c>
    </row>
    <row r="139" customFormat="false" ht="15" hidden="false" customHeight="false" outlineLevel="0" collapsed="false">
      <c r="C139" s="0" t="s">
        <v>58</v>
      </c>
      <c r="D139" s="16" t="n">
        <f aca="false">E26</f>
        <v>45992</v>
      </c>
      <c r="G139" s="15" t="s">
        <v>59</v>
      </c>
    </row>
    <row r="140" customFormat="false" ht="15" hidden="false" customHeight="false" outlineLevel="0" collapsed="false">
      <c r="C140" s="0" t="s">
        <v>60</v>
      </c>
      <c r="D140" s="17" t="n">
        <f aca="false">F31</f>
        <v>0.0478</v>
      </c>
    </row>
    <row r="141" customFormat="false" ht="15" hidden="false" customHeight="false" outlineLevel="0" collapsed="false">
      <c r="C141" s="0" t="s">
        <v>61</v>
      </c>
      <c r="D141" s="17" t="n">
        <f aca="false">F33</f>
        <v>0.0425</v>
      </c>
    </row>
    <row r="142" customFormat="false" ht="15" hidden="false" customHeight="false" outlineLevel="0" collapsed="false">
      <c r="C142" s="0" t="s">
        <v>62</v>
      </c>
      <c r="D142" s="17" t="n">
        <f aca="false">F35</f>
        <v>0.3225</v>
      </c>
    </row>
    <row r="143" customFormat="false" ht="15" hidden="false" customHeight="false" outlineLevel="0" collapsed="false">
      <c r="C143" s="0" t="s">
        <v>63</v>
      </c>
      <c r="D143" s="17" t="n">
        <f aca="false">F37</f>
        <v>0.2751</v>
      </c>
    </row>
    <row r="145" customFormat="false" ht="15" hidden="false" customHeight="false" outlineLevel="0" collapsed="false">
      <c r="B145" s="0" t="s">
        <v>64</v>
      </c>
      <c r="C145" s="0" t="s">
        <v>65</v>
      </c>
      <c r="D145" s="10" t="n">
        <f aca="false">F39</f>
        <v>5209189.062</v>
      </c>
      <c r="E145" s="18" t="n">
        <f aca="false">D145/$D$137</f>
        <v>0.2751</v>
      </c>
    </row>
    <row r="146" customFormat="false" ht="15" hidden="false" customHeight="false" outlineLevel="0" collapsed="false">
      <c r="B146" s="0" t="s">
        <v>66</v>
      </c>
      <c r="C146" s="0" t="s">
        <v>32</v>
      </c>
      <c r="D146" s="10" t="n">
        <f aca="false">F41</f>
        <v>0</v>
      </c>
      <c r="E146" s="18" t="n">
        <f aca="false">D146/$D$137</f>
        <v>0</v>
      </c>
    </row>
    <row r="147" customFormat="false" ht="15" hidden="false" customHeight="false" outlineLevel="0" collapsed="false">
      <c r="B147" s="0" t="s">
        <v>67</v>
      </c>
      <c r="C147" s="0" t="s">
        <v>35</v>
      </c>
      <c r="D147" s="10" t="n">
        <f aca="false">F43</f>
        <v>0</v>
      </c>
      <c r="E147" s="18" t="n">
        <f aca="false">D147/$D$137</f>
        <v>0</v>
      </c>
    </row>
    <row r="148" customFormat="false" ht="15" hidden="false" customHeight="false" outlineLevel="0" collapsed="false">
      <c r="B148" s="0" t="s">
        <v>68</v>
      </c>
      <c r="C148" s="0" t="s">
        <v>33</v>
      </c>
      <c r="D148" s="10" t="n">
        <f aca="false">F45</f>
        <v>0</v>
      </c>
      <c r="E148" s="18" t="n">
        <f aca="false">D148/$D$137</f>
        <v>0</v>
      </c>
    </row>
    <row r="149" customFormat="false" ht="15" hidden="false" customHeight="false" outlineLevel="0" collapsed="false">
      <c r="B149" s="0" t="s">
        <v>69</v>
      </c>
      <c r="C149" s="0" t="s">
        <v>36</v>
      </c>
      <c r="D149" s="10" t="n">
        <f aca="false">F47</f>
        <v>196573.81</v>
      </c>
      <c r="E149" s="18" t="n">
        <f aca="false">D149/$D$137</f>
        <v>0.0103811657606141</v>
      </c>
    </row>
    <row r="150" customFormat="false" ht="15" hidden="false" customHeight="false" outlineLevel="0" collapsed="false">
      <c r="B150" s="0" t="s">
        <v>70</v>
      </c>
      <c r="C150" s="0" t="s">
        <v>71</v>
      </c>
      <c r="D150" s="10" t="n">
        <f aca="false">F49</f>
        <v>62500</v>
      </c>
      <c r="E150" s="18" t="n">
        <f aca="false">D150/$D$137</f>
        <v>0.00330065770225638</v>
      </c>
    </row>
    <row r="151" customFormat="false" ht="15" hidden="false" customHeight="false" outlineLevel="0" collapsed="false">
      <c r="B151" s="0" t="s">
        <v>72</v>
      </c>
      <c r="C151" s="0" t="s">
        <v>73</v>
      </c>
      <c r="D151" s="10" t="n">
        <f aca="false">F51</f>
        <v>0</v>
      </c>
      <c r="E151" s="18" t="n">
        <f aca="false">D151/$D$137</f>
        <v>0</v>
      </c>
    </row>
    <row r="152" customFormat="false" ht="15" hidden="false" customHeight="false" outlineLevel="0" collapsed="false">
      <c r="B152" s="0" t="s">
        <v>74</v>
      </c>
      <c r="C152" s="0" t="s">
        <v>45</v>
      </c>
      <c r="D152" s="10" t="n">
        <f aca="false">F53</f>
        <v>148877.69</v>
      </c>
      <c r="E152" s="18" t="n">
        <f aca="false">D152/$D$137</f>
        <v>0.00786230870708221</v>
      </c>
    </row>
    <row r="153" customFormat="false" ht="15" hidden="false" customHeight="false" outlineLevel="0" collapsed="false">
      <c r="B153" s="0" t="s">
        <v>75</v>
      </c>
      <c r="C153" s="0" t="s">
        <v>76</v>
      </c>
      <c r="D153" s="10" t="n">
        <f aca="false">F56</f>
        <v>5308174.85</v>
      </c>
      <c r="E153" s="18" t="n">
        <f aca="false">D153/$D$137</f>
        <v>0.280327491257218</v>
      </c>
    </row>
    <row r="154" customFormat="false" ht="15" hidden="false" customHeight="false" outlineLevel="0" collapsed="false">
      <c r="B154" s="0" t="s">
        <v>77</v>
      </c>
      <c r="C154" s="0" t="s">
        <v>50</v>
      </c>
      <c r="D154" s="10" t="n">
        <f aca="false">F58</f>
        <v>0</v>
      </c>
      <c r="E154" s="18" t="n">
        <f aca="false">D154/$D$137</f>
        <v>0</v>
      </c>
    </row>
    <row r="155" customFormat="false" ht="15" hidden="false" customHeight="false" outlineLevel="0" collapsed="false">
      <c r="C155" s="12" t="s">
        <v>78</v>
      </c>
      <c r="D155" s="13" t="n">
        <f aca="false">D145+D146+D147+D148+D149+D150+D151-D152-D153-D154</f>
        <v>11210.3319999995</v>
      </c>
      <c r="E155" s="19" t="n">
        <f aca="false">D155/D137</f>
        <v>0.000592023498570391</v>
      </c>
    </row>
    <row r="156" customFormat="false" ht="15" hidden="false" customHeight="false" outlineLevel="0" collapsed="false">
      <c r="C156" s="0" t="s">
        <v>79</v>
      </c>
      <c r="D156" s="10" t="n">
        <f aca="false">NOV25!D155</f>
        <v>21921.5880000005</v>
      </c>
      <c r="E156" s="17" t="n">
        <f aca="false">NOV25!E155</f>
        <v>0.00116251232958658</v>
      </c>
    </row>
    <row r="160" customFormat="false" ht="15" hidden="false" customHeight="false" outlineLevel="0" collapsed="false">
      <c r="B160" s="12" t="s">
        <v>80</v>
      </c>
    </row>
    <row r="162" customFormat="false" ht="15" hidden="false" customHeight="false" outlineLevel="0" collapsed="false">
      <c r="B162" s="12" t="s">
        <v>81</v>
      </c>
    </row>
    <row r="163" customFormat="false" ht="15" hidden="false" customHeight="false" outlineLevel="0" collapsed="false">
      <c r="B163" s="0" t="s">
        <v>82</v>
      </c>
    </row>
    <row r="164" customFormat="false" ht="15" hidden="false" customHeight="false" outlineLevel="0" collapsed="false">
      <c r="B164" s="12" t="s">
        <v>83</v>
      </c>
    </row>
    <row r="165" customFormat="false" ht="15" hidden="false" customHeight="false" outlineLevel="0" collapsed="false">
      <c r="B165" s="0" t="s">
        <v>84</v>
      </c>
    </row>
    <row r="166" customFormat="false" ht="15" hidden="false" customHeight="false" outlineLevel="0" collapsed="false">
      <c r="B166" s="12" t="s">
        <v>85</v>
      </c>
    </row>
    <row r="167" customFormat="false" ht="15" hidden="false" customHeight="false" outlineLevel="0" collapsed="false">
      <c r="B167" s="0" t="s">
        <v>86</v>
      </c>
    </row>
    <row r="168" customFormat="false" ht="15" hidden="false" customHeight="false" outlineLevel="0" collapsed="false">
      <c r="B168" s="12" t="s">
        <v>87</v>
      </c>
    </row>
    <row r="169" customFormat="false" ht="15" hidden="false" customHeight="false" outlineLevel="0" collapsed="false">
      <c r="B169" s="0" t="s">
        <v>88</v>
      </c>
    </row>
    <row r="170" customFormat="false" ht="15" hidden="false" customHeight="false" outlineLevel="0" collapsed="false">
      <c r="B170" s="12" t="s">
        <v>89</v>
      </c>
    </row>
    <row r="171" customFormat="false" ht="15" hidden="false" customHeight="false" outlineLevel="0" collapsed="false">
      <c r="B171" s="0" t="s">
        <v>90</v>
      </c>
    </row>
    <row r="172" customFormat="false" ht="15" hidden="false" customHeight="false" outlineLevel="0" collapsed="false">
      <c r="B172" s="12" t="s">
        <v>91</v>
      </c>
    </row>
    <row r="173" customFormat="false" ht="15" hidden="false" customHeight="false" outlineLevel="0" collapsed="false">
      <c r="B173" s="0" t="s">
        <v>92</v>
      </c>
    </row>
    <row r="174" customFormat="false" ht="15" hidden="false" customHeight="false" outlineLevel="0" collapsed="false">
      <c r="B174" s="12" t="s">
        <v>93</v>
      </c>
    </row>
    <row r="175" customFormat="false" ht="15" hidden="false" customHeight="false" outlineLevel="0" collapsed="false">
      <c r="B175" s="0" t="s">
        <v>94</v>
      </c>
    </row>
    <row r="176" customFormat="false" ht="15" hidden="false" customHeight="false" outlineLevel="0" collapsed="false">
      <c r="B176" s="12" t="s">
        <v>95</v>
      </c>
    </row>
    <row r="177" customFormat="false" ht="15" hidden="false" customHeight="false" outlineLevel="0" collapsed="false">
      <c r="B177" s="0" t="s">
        <v>96</v>
      </c>
    </row>
    <row r="178" customFormat="false" ht="15" hidden="false" customHeight="false" outlineLevel="0" collapsed="false">
      <c r="B178" s="12" t="s">
        <v>97</v>
      </c>
    </row>
    <row r="179" customFormat="false" ht="15" hidden="false" customHeight="false" outlineLevel="0" collapsed="false">
      <c r="B179" s="0" t="s">
        <v>98</v>
      </c>
    </row>
    <row r="180" customFormat="false" ht="15" hidden="false" customHeight="false" outlineLevel="0" collapsed="false">
      <c r="B180" s="12" t="s">
        <v>99</v>
      </c>
    </row>
    <row r="181" customFormat="false" ht="15" hidden="false" customHeight="false" outlineLevel="0" collapsed="false">
      <c r="B181" s="0" t="s">
        <v>100</v>
      </c>
    </row>
  </sheetData>
  <printOptions headings="false" gridLines="false" gridLinesSet="true" horizontalCentered="false" verticalCentered="false"/>
  <pageMargins left="0.75" right="0.75" top="1" bottom="1" header="0.511811023622047" footer="0.511811023622047"/>
  <pageSetup paperSize="9" scale="100" fitToWidth="1" fitToHeight="1" pageOrder="downThenOver" orientation="portrait" blackAndWhite="false" draft="false" cellComments="none" horizontalDpi="300" verticalDpi="300" copies="1"/>
  <headerFooter differentFirst="false" differentOddEven="false">
    <oddHeader/>
    <oddFooter/>
  </headerFooter>
</worksheet>
</file>

<file path=xl/worksheets/sheet6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r2="http://schemas.microsoft.com/office/spreadsheetml/2015/revision2" xmlns:mc="http://schemas.openxmlformats.org/markup-compatibility/2006">
  <sheetPr filterMode="false">
    <pageSetUpPr fitToPage="false"/>
  </sheetPr>
  <dimension ref="B2:J181"/>
  <sheetViews>
    <sheetView showFormulas="false" showGridLines="true" showRowColHeaders="true" showZeros="true" rightToLeft="false" tabSelected="false" showOutlineSymbols="true" defaultGridColor="true" view="normal" topLeftCell="A1" colorId="64" zoomScale="100" zoomScaleNormal="100" zoomScalePageLayoutView="100" workbookViewId="0">
      <selection pane="topLeft" activeCell="A1" activeCellId="0" sqref="A1"/>
    </sheetView>
  </sheetViews>
  <sheetFormatPr defaultColWidth="8.6796875" defaultRowHeight="15" zeroHeight="false" outlineLevelRow="0" outlineLevelCol="0"/>
  <cols>
    <col collapsed="false" customWidth="true" hidden="false" outlineLevel="0" max="1" min="1" style="0" width="3"/>
    <col collapsed="false" customWidth="true" hidden="false" outlineLevel="0" max="2" min="2" style="0" width="46"/>
    <col collapsed="false" customWidth="true" hidden="false" outlineLevel="0" max="3" min="3" style="0" width="30"/>
    <col collapsed="false" customWidth="true" hidden="false" outlineLevel="0" max="6" min="4" style="0" width="18"/>
    <col collapsed="false" customWidth="true" hidden="false" outlineLevel="0" max="7" min="7" style="0" width="44"/>
    <col collapsed="false" customWidth="true" hidden="false" outlineLevel="0" max="9" min="8" style="0" width="12"/>
    <col collapsed="false" customWidth="true" hidden="false" outlineLevel="0" max="10" min="10" style="0" width="18"/>
  </cols>
  <sheetData>
    <row r="2" customFormat="false" ht="17.35" hidden="false" customHeight="false" outlineLevel="0" collapsed="false">
      <c r="B2" s="1" t="s">
        <v>4</v>
      </c>
    </row>
    <row r="3" customFormat="false" ht="15" hidden="false" customHeight="false" outlineLevel="0" collapsed="false">
      <c r="B3" s="0" t="s">
        <v>5</v>
      </c>
    </row>
    <row r="4" customFormat="false" ht="15" hidden="false" customHeight="false" outlineLevel="0" collapsed="false">
      <c r="B4" s="0" t="s">
        <v>6</v>
      </c>
    </row>
    <row r="18" customFormat="false" ht="15" hidden="false" customHeight="false" outlineLevel="0" collapsed="false">
      <c r="B18" s="3" t="s">
        <v>7</v>
      </c>
    </row>
    <row r="19" customFormat="false" ht="15" hidden="false" customHeight="false" outlineLevel="0" collapsed="false">
      <c r="B19" s="4" t="s">
        <v>8</v>
      </c>
    </row>
    <row r="20" customFormat="false" ht="15" hidden="false" customHeight="false" outlineLevel="0" collapsed="false">
      <c r="B20" s="5" t="s">
        <v>9</v>
      </c>
    </row>
    <row r="21" customFormat="false" ht="15" hidden="false" customHeight="false" outlineLevel="0" collapsed="false">
      <c r="B21" s="6" t="s">
        <v>10</v>
      </c>
    </row>
    <row r="24" customFormat="false" ht="15" hidden="false" customHeight="false" outlineLevel="0" collapsed="false">
      <c r="B24" s="0" t="s">
        <v>11</v>
      </c>
      <c r="D24" s="3" t="s">
        <v>12</v>
      </c>
    </row>
    <row r="26" customFormat="false" ht="15" hidden="false" customHeight="false" outlineLevel="0" collapsed="false">
      <c r="B26" s="0" t="s">
        <v>13</v>
      </c>
      <c r="E26" s="7" t="n">
        <v>46023</v>
      </c>
    </row>
    <row r="28" customFormat="false" ht="15" hidden="false" customHeight="false" outlineLevel="0" collapsed="false">
      <c r="B28" s="0" t="s">
        <v>14</v>
      </c>
      <c r="J28" s="8" t="n">
        <v>19014160</v>
      </c>
    </row>
    <row r="29" customFormat="false" ht="15" hidden="false" customHeight="false" outlineLevel="0" collapsed="false">
      <c r="B29" s="0" t="s">
        <v>15</v>
      </c>
      <c r="J29" s="3" t="s">
        <v>16</v>
      </c>
    </row>
    <row r="31" customFormat="false" ht="15" hidden="false" customHeight="false" outlineLevel="0" collapsed="false">
      <c r="B31" s="0" t="s">
        <v>17</v>
      </c>
      <c r="F31" s="9" t="n">
        <v>0.0495</v>
      </c>
    </row>
    <row r="33" customFormat="false" ht="15" hidden="false" customHeight="false" outlineLevel="0" collapsed="false">
      <c r="B33" s="0" t="s">
        <v>18</v>
      </c>
      <c r="F33" s="9" t="n">
        <v>0.0417</v>
      </c>
    </row>
    <row r="35" customFormat="false" ht="15" hidden="false" customHeight="false" outlineLevel="0" collapsed="false">
      <c r="B35" s="0" t="s">
        <v>19</v>
      </c>
      <c r="F35" s="9" t="n">
        <v>0.372</v>
      </c>
    </row>
    <row r="37" customFormat="false" ht="15" hidden="false" customHeight="false" outlineLevel="0" collapsed="false">
      <c r="B37" s="0" t="s">
        <v>20</v>
      </c>
      <c r="F37" s="9" t="n">
        <v>0.3168</v>
      </c>
    </row>
    <row r="39" customFormat="false" ht="15" hidden="false" customHeight="false" outlineLevel="0" collapsed="false">
      <c r="B39" s="0" t="s">
        <v>21</v>
      </c>
      <c r="F39" s="10" t="n">
        <f aca="false">F37*J28</f>
        <v>6023685.888</v>
      </c>
    </row>
    <row r="41" customFormat="false" ht="15" hidden="false" customHeight="false" outlineLevel="0" collapsed="false">
      <c r="B41" s="0" t="s">
        <v>22</v>
      </c>
      <c r="F41" s="10" t="n">
        <f aca="false">E74</f>
        <v>0</v>
      </c>
    </row>
    <row r="43" customFormat="false" ht="15" hidden="false" customHeight="false" outlineLevel="0" collapsed="false">
      <c r="B43" s="0" t="s">
        <v>23</v>
      </c>
      <c r="F43" s="10" t="n">
        <f aca="false">E88</f>
        <v>0</v>
      </c>
    </row>
    <row r="45" customFormat="false" ht="15" hidden="false" customHeight="false" outlineLevel="0" collapsed="false">
      <c r="B45" s="0" t="s">
        <v>24</v>
      </c>
      <c r="F45" s="10" t="n">
        <f aca="false">J74</f>
        <v>0</v>
      </c>
    </row>
    <row r="47" customFormat="false" ht="15" hidden="false" customHeight="false" outlineLevel="0" collapsed="false">
      <c r="B47" s="0" t="s">
        <v>25</v>
      </c>
      <c r="F47" s="10" t="n">
        <f aca="false">J88</f>
        <v>203974.96</v>
      </c>
    </row>
    <row r="49" customFormat="false" ht="15" hidden="false" customHeight="false" outlineLevel="0" collapsed="false">
      <c r="B49" s="0" t="s">
        <v>26</v>
      </c>
      <c r="F49" s="10" t="n">
        <f aca="false">E102</f>
        <v>62500</v>
      </c>
    </row>
    <row r="51" customFormat="false" ht="15" hidden="false" customHeight="false" outlineLevel="0" collapsed="false">
      <c r="B51" s="0" t="s">
        <v>27</v>
      </c>
      <c r="F51" s="10" t="n">
        <f aca="false">J102</f>
        <v>0</v>
      </c>
    </row>
    <row r="53" customFormat="false" ht="15" hidden="false" customHeight="false" outlineLevel="0" collapsed="false">
      <c r="B53" s="0" t="s">
        <v>28</v>
      </c>
      <c r="F53" s="10" t="n">
        <f aca="false">E115</f>
        <v>156220.67</v>
      </c>
    </row>
    <row r="55" customFormat="false" ht="15" hidden="false" customHeight="false" outlineLevel="0" collapsed="false">
      <c r="B55" s="0" t="s">
        <v>29</v>
      </c>
      <c r="F55" s="8" t="n">
        <v>6134334.85</v>
      </c>
    </row>
    <row r="56" customFormat="false" ht="15" hidden="false" customHeight="false" outlineLevel="0" collapsed="false">
      <c r="B56" s="0" t="s">
        <v>30</v>
      </c>
      <c r="F56" s="10" t="n">
        <f aca="false">F55-J115</f>
        <v>6134334.85</v>
      </c>
    </row>
    <row r="58" customFormat="false" ht="15" hidden="false" customHeight="false" outlineLevel="0" collapsed="false">
      <c r="B58" s="0" t="s">
        <v>31</v>
      </c>
      <c r="F58" s="10" t="n">
        <f aca="false">E129</f>
        <v>0</v>
      </c>
    </row>
    <row r="63" customFormat="false" ht="15" hidden="false" customHeight="false" outlineLevel="0" collapsed="false">
      <c r="B63" s="11" t="s">
        <v>32</v>
      </c>
      <c r="G63" s="11" t="s">
        <v>33</v>
      </c>
    </row>
    <row r="74" customFormat="false" ht="15" hidden="false" customHeight="false" outlineLevel="0" collapsed="false">
      <c r="B74" s="12" t="s">
        <v>34</v>
      </c>
      <c r="E74" s="13" t="n">
        <f aca="false">SUM(E64:E73)</f>
        <v>0</v>
      </c>
      <c r="G74" s="12" t="s">
        <v>34</v>
      </c>
      <c r="J74" s="13" t="n">
        <f aca="false">SUM(J64:J73)</f>
        <v>0</v>
      </c>
    </row>
    <row r="77" customFormat="false" ht="15" hidden="false" customHeight="false" outlineLevel="0" collapsed="false">
      <c r="B77" s="11" t="s">
        <v>35</v>
      </c>
      <c r="G77" s="11" t="s">
        <v>36</v>
      </c>
    </row>
    <row r="78" customFormat="false" ht="15" hidden="false" customHeight="false" outlineLevel="0" collapsed="false">
      <c r="G78" s="0" t="s">
        <v>104</v>
      </c>
      <c r="J78" s="14" t="n">
        <v>60882.05</v>
      </c>
    </row>
    <row r="79" customFormat="false" ht="15" hidden="false" customHeight="false" outlineLevel="0" collapsed="false">
      <c r="G79" s="0" t="s">
        <v>105</v>
      </c>
      <c r="J79" s="14" t="n">
        <v>54720.79</v>
      </c>
    </row>
    <row r="80" customFormat="false" ht="15" hidden="false" customHeight="false" outlineLevel="0" collapsed="false">
      <c r="G80" s="0" t="s">
        <v>106</v>
      </c>
      <c r="J80" s="14" t="n">
        <v>37820.74</v>
      </c>
    </row>
    <row r="81" customFormat="false" ht="15" hidden="false" customHeight="false" outlineLevel="0" collapsed="false">
      <c r="G81" s="0" t="s">
        <v>107</v>
      </c>
      <c r="J81" s="14" t="n">
        <v>50551.38</v>
      </c>
    </row>
    <row r="88" customFormat="false" ht="15" hidden="false" customHeight="false" outlineLevel="0" collapsed="false">
      <c r="B88" s="12" t="s">
        <v>34</v>
      </c>
      <c r="E88" s="13" t="n">
        <f aca="false">SUM(E78:E87)</f>
        <v>0</v>
      </c>
      <c r="G88" s="12" t="s">
        <v>34</v>
      </c>
      <c r="J88" s="13" t="n">
        <f aca="false">SUM(J78:J87)</f>
        <v>203974.96</v>
      </c>
    </row>
    <row r="91" customFormat="false" ht="15" hidden="false" customHeight="false" outlineLevel="0" collapsed="false">
      <c r="B91" s="11" t="s">
        <v>40</v>
      </c>
      <c r="G91" s="11" t="s">
        <v>41</v>
      </c>
    </row>
    <row r="92" customFormat="false" ht="15" hidden="false" customHeight="false" outlineLevel="0" collapsed="false">
      <c r="B92" s="0" t="s">
        <v>42</v>
      </c>
      <c r="E92" s="14" t="n">
        <v>9800</v>
      </c>
    </row>
    <row r="93" customFormat="false" ht="15" hidden="false" customHeight="false" outlineLevel="0" collapsed="false">
      <c r="B93" s="0" t="s">
        <v>43</v>
      </c>
      <c r="E93" s="14" t="n">
        <v>38500</v>
      </c>
    </row>
    <row r="94" customFormat="false" ht="15" hidden="false" customHeight="false" outlineLevel="0" collapsed="false">
      <c r="B94" s="0" t="s">
        <v>44</v>
      </c>
      <c r="E94" s="14" t="n">
        <v>14200</v>
      </c>
    </row>
    <row r="102" customFormat="false" ht="15" hidden="false" customHeight="false" outlineLevel="0" collapsed="false">
      <c r="B102" s="12" t="s">
        <v>34</v>
      </c>
      <c r="E102" s="13" t="n">
        <f aca="false">SUM(E92:E101)</f>
        <v>62500</v>
      </c>
      <c r="G102" s="12" t="s">
        <v>34</v>
      </c>
      <c r="J102" s="13" t="n">
        <f aca="false">SUM(J92:J101)</f>
        <v>0</v>
      </c>
    </row>
    <row r="105" customFormat="false" ht="15" hidden="false" customHeight="false" outlineLevel="0" collapsed="false">
      <c r="B105" s="11" t="s">
        <v>45</v>
      </c>
      <c r="G105" s="11" t="s">
        <v>46</v>
      </c>
    </row>
    <row r="106" customFormat="false" ht="15" hidden="false" customHeight="false" outlineLevel="0" collapsed="false">
      <c r="B106" s="0" t="s">
        <v>117</v>
      </c>
      <c r="E106" s="14" t="n">
        <v>45497.8</v>
      </c>
    </row>
    <row r="107" customFormat="false" ht="15" hidden="false" customHeight="false" outlineLevel="0" collapsed="false">
      <c r="B107" s="0" t="s">
        <v>118</v>
      </c>
      <c r="E107" s="14" t="n">
        <v>38965.71</v>
      </c>
    </row>
    <row r="108" customFormat="false" ht="15" hidden="false" customHeight="false" outlineLevel="0" collapsed="false">
      <c r="B108" s="0" t="s">
        <v>119</v>
      </c>
      <c r="E108" s="14" t="n">
        <v>24410.67</v>
      </c>
    </row>
    <row r="109" customFormat="false" ht="15" hidden="false" customHeight="false" outlineLevel="0" collapsed="false">
      <c r="B109" s="0" t="s">
        <v>120</v>
      </c>
      <c r="E109" s="14" t="n">
        <v>47346.49</v>
      </c>
    </row>
    <row r="115" customFormat="false" ht="15" hidden="false" customHeight="false" outlineLevel="0" collapsed="false">
      <c r="B115" s="12" t="s">
        <v>34</v>
      </c>
      <c r="E115" s="13" t="n">
        <f aca="false">SUM(E106:E114)</f>
        <v>156220.67</v>
      </c>
      <c r="G115" s="12" t="s">
        <v>34</v>
      </c>
      <c r="J115" s="13" t="n">
        <f aca="false">SUM(J106:J114)</f>
        <v>0</v>
      </c>
    </row>
    <row r="118" customFormat="false" ht="15" hidden="false" customHeight="false" outlineLevel="0" collapsed="false">
      <c r="B118" s="11" t="s">
        <v>50</v>
      </c>
    </row>
    <row r="129" customFormat="false" ht="15" hidden="false" customHeight="false" outlineLevel="0" collapsed="false">
      <c r="B129" s="12" t="s">
        <v>34</v>
      </c>
      <c r="E129" s="13" t="n">
        <f aca="false">SUM(E119:E128)</f>
        <v>0</v>
      </c>
    </row>
    <row r="132" customFormat="false" ht="17.35" hidden="false" customHeight="false" outlineLevel="0" collapsed="false">
      <c r="B132" s="1" t="s">
        <v>51</v>
      </c>
    </row>
    <row r="135" customFormat="false" ht="15" hidden="false" customHeight="false" outlineLevel="0" collapsed="false">
      <c r="G135" s="12" t="s">
        <v>52</v>
      </c>
    </row>
    <row r="136" customFormat="false" ht="15" hidden="false" customHeight="false" outlineLevel="0" collapsed="false">
      <c r="C136" s="0" t="s">
        <v>53</v>
      </c>
      <c r="D136" s="4" t="str">
        <f aca="false">D24</f>
        <v>POTENGI</v>
      </c>
      <c r="G136" s="15" t="s">
        <v>54</v>
      </c>
      <c r="J136" s="8" t="n">
        <v>860584.55</v>
      </c>
    </row>
    <row r="137" customFormat="false" ht="15" hidden="false" customHeight="false" outlineLevel="0" collapsed="false">
      <c r="C137" s="0" t="s">
        <v>55</v>
      </c>
      <c r="D137" s="10" t="n">
        <f aca="false">J28</f>
        <v>19014160</v>
      </c>
      <c r="G137" s="15" t="s">
        <v>56</v>
      </c>
      <c r="J137" s="8" t="n">
        <v>816290</v>
      </c>
    </row>
    <row r="138" customFormat="false" ht="15" hidden="false" customHeight="false" outlineLevel="0" collapsed="false">
      <c r="C138" s="0" t="s">
        <v>15</v>
      </c>
      <c r="D138" s="4" t="str">
        <f aca="false">J29</f>
        <v>Orçamento executivo</v>
      </c>
      <c r="G138" s="15" t="s">
        <v>57</v>
      </c>
      <c r="J138" s="10" t="n">
        <f aca="false">J137-J136</f>
        <v>-44294.5500000001</v>
      </c>
    </row>
    <row r="139" customFormat="false" ht="15" hidden="false" customHeight="false" outlineLevel="0" collapsed="false">
      <c r="C139" s="0" t="s">
        <v>58</v>
      </c>
      <c r="D139" s="16" t="n">
        <f aca="false">E26</f>
        <v>46023</v>
      </c>
      <c r="G139" s="15" t="s">
        <v>59</v>
      </c>
    </row>
    <row r="140" customFormat="false" ht="15" hidden="false" customHeight="false" outlineLevel="0" collapsed="false">
      <c r="C140" s="0" t="s">
        <v>60</v>
      </c>
      <c r="D140" s="17" t="n">
        <f aca="false">F31</f>
        <v>0.0495</v>
      </c>
    </row>
    <row r="141" customFormat="false" ht="15" hidden="false" customHeight="false" outlineLevel="0" collapsed="false">
      <c r="C141" s="0" t="s">
        <v>61</v>
      </c>
      <c r="D141" s="17" t="n">
        <f aca="false">F33</f>
        <v>0.0417</v>
      </c>
    </row>
    <row r="142" customFormat="false" ht="15" hidden="false" customHeight="false" outlineLevel="0" collapsed="false">
      <c r="C142" s="0" t="s">
        <v>62</v>
      </c>
      <c r="D142" s="17" t="n">
        <f aca="false">F35</f>
        <v>0.372</v>
      </c>
    </row>
    <row r="143" customFormat="false" ht="15" hidden="false" customHeight="false" outlineLevel="0" collapsed="false">
      <c r="C143" s="0" t="s">
        <v>63</v>
      </c>
      <c r="D143" s="17" t="n">
        <f aca="false">F37</f>
        <v>0.3168</v>
      </c>
    </row>
    <row r="145" customFormat="false" ht="15" hidden="false" customHeight="false" outlineLevel="0" collapsed="false">
      <c r="B145" s="0" t="s">
        <v>64</v>
      </c>
      <c r="C145" s="0" t="s">
        <v>65</v>
      </c>
      <c r="D145" s="10" t="n">
        <f aca="false">F39</f>
        <v>6023685.888</v>
      </c>
      <c r="E145" s="18" t="n">
        <f aca="false">D145/$D$137</f>
        <v>0.3168</v>
      </c>
    </row>
    <row r="146" customFormat="false" ht="15" hidden="false" customHeight="false" outlineLevel="0" collapsed="false">
      <c r="B146" s="0" t="s">
        <v>66</v>
      </c>
      <c r="C146" s="0" t="s">
        <v>32</v>
      </c>
      <c r="D146" s="10" t="n">
        <f aca="false">F41</f>
        <v>0</v>
      </c>
      <c r="E146" s="18" t="n">
        <f aca="false">D146/$D$137</f>
        <v>0</v>
      </c>
    </row>
    <row r="147" customFormat="false" ht="15" hidden="false" customHeight="false" outlineLevel="0" collapsed="false">
      <c r="B147" s="0" t="s">
        <v>67</v>
      </c>
      <c r="C147" s="0" t="s">
        <v>35</v>
      </c>
      <c r="D147" s="10" t="n">
        <f aca="false">F43</f>
        <v>0</v>
      </c>
      <c r="E147" s="18" t="n">
        <f aca="false">D147/$D$137</f>
        <v>0</v>
      </c>
    </row>
    <row r="148" customFormat="false" ht="15" hidden="false" customHeight="false" outlineLevel="0" collapsed="false">
      <c r="B148" s="0" t="s">
        <v>68</v>
      </c>
      <c r="C148" s="0" t="s">
        <v>33</v>
      </c>
      <c r="D148" s="10" t="n">
        <f aca="false">F45</f>
        <v>0</v>
      </c>
      <c r="E148" s="18" t="n">
        <f aca="false">D148/$D$137</f>
        <v>0</v>
      </c>
    </row>
    <row r="149" customFormat="false" ht="15" hidden="false" customHeight="false" outlineLevel="0" collapsed="false">
      <c r="B149" s="0" t="s">
        <v>69</v>
      </c>
      <c r="C149" s="0" t="s">
        <v>36</v>
      </c>
      <c r="D149" s="10" t="n">
        <f aca="false">F47</f>
        <v>203974.96</v>
      </c>
      <c r="E149" s="18" t="n">
        <f aca="false">D149/$D$137</f>
        <v>0.0107275293781056</v>
      </c>
    </row>
    <row r="150" customFormat="false" ht="15" hidden="false" customHeight="false" outlineLevel="0" collapsed="false">
      <c r="B150" s="0" t="s">
        <v>70</v>
      </c>
      <c r="C150" s="0" t="s">
        <v>71</v>
      </c>
      <c r="D150" s="10" t="n">
        <f aca="false">F49</f>
        <v>62500</v>
      </c>
      <c r="E150" s="18" t="n">
        <f aca="false">D150/$D$137</f>
        <v>0.0032870239863344</v>
      </c>
    </row>
    <row r="151" customFormat="false" ht="15" hidden="false" customHeight="false" outlineLevel="0" collapsed="false">
      <c r="B151" s="0" t="s">
        <v>72</v>
      </c>
      <c r="C151" s="0" t="s">
        <v>73</v>
      </c>
      <c r="D151" s="10" t="n">
        <f aca="false">F51</f>
        <v>0</v>
      </c>
      <c r="E151" s="18" t="n">
        <f aca="false">D151/$D$137</f>
        <v>0</v>
      </c>
    </row>
    <row r="152" customFormat="false" ht="15" hidden="false" customHeight="false" outlineLevel="0" collapsed="false">
      <c r="B152" s="0" t="s">
        <v>74</v>
      </c>
      <c r="C152" s="0" t="s">
        <v>45</v>
      </c>
      <c r="D152" s="10" t="n">
        <f aca="false">F53</f>
        <v>156220.67</v>
      </c>
      <c r="E152" s="18" t="n">
        <f aca="false">D152/$D$137</f>
        <v>0.00821601743121968</v>
      </c>
    </row>
    <row r="153" customFormat="false" ht="15" hidden="false" customHeight="false" outlineLevel="0" collapsed="false">
      <c r="B153" s="0" t="s">
        <v>75</v>
      </c>
      <c r="C153" s="0" t="s">
        <v>76</v>
      </c>
      <c r="D153" s="10" t="n">
        <f aca="false">F56</f>
        <v>6134334.85</v>
      </c>
      <c r="E153" s="18" t="n">
        <f aca="false">D153/$D$137</f>
        <v>0.322619292674512</v>
      </c>
    </row>
    <row r="154" customFormat="false" ht="15" hidden="false" customHeight="false" outlineLevel="0" collapsed="false">
      <c r="B154" s="0" t="s">
        <v>77</v>
      </c>
      <c r="C154" s="0" t="s">
        <v>50</v>
      </c>
      <c r="D154" s="10" t="n">
        <f aca="false">F58</f>
        <v>0</v>
      </c>
      <c r="E154" s="18" t="n">
        <f aca="false">D154/$D$137</f>
        <v>0</v>
      </c>
    </row>
    <row r="155" customFormat="false" ht="15" hidden="false" customHeight="false" outlineLevel="0" collapsed="false">
      <c r="C155" s="12" t="s">
        <v>78</v>
      </c>
      <c r="D155" s="13" t="n">
        <f aca="false">D145+D146+D147+D148+D149+D150+D151-D152-D153-D154</f>
        <v>-394.671999999322</v>
      </c>
      <c r="E155" s="19" t="n">
        <f aca="false">D155/D137</f>
        <v>-2.07567412917174E-005</v>
      </c>
    </row>
    <row r="156" customFormat="false" ht="15" hidden="false" customHeight="false" outlineLevel="0" collapsed="false">
      <c r="C156" s="0" t="s">
        <v>79</v>
      </c>
      <c r="D156" s="10" t="n">
        <f aca="false">DEZ25!D155</f>
        <v>11210.3319999995</v>
      </c>
      <c r="E156" s="17" t="n">
        <f aca="false">DEZ25!E155</f>
        <v>0.000592023498570391</v>
      </c>
    </row>
    <row r="160" customFormat="false" ht="15" hidden="false" customHeight="false" outlineLevel="0" collapsed="false">
      <c r="B160" s="12" t="s">
        <v>80</v>
      </c>
    </row>
    <row r="162" customFormat="false" ht="15" hidden="false" customHeight="false" outlineLevel="0" collapsed="false">
      <c r="B162" s="12" t="s">
        <v>81</v>
      </c>
    </row>
    <row r="163" customFormat="false" ht="15" hidden="false" customHeight="false" outlineLevel="0" collapsed="false">
      <c r="B163" s="0" t="s">
        <v>82</v>
      </c>
    </row>
    <row r="164" customFormat="false" ht="15" hidden="false" customHeight="false" outlineLevel="0" collapsed="false">
      <c r="B164" s="12" t="s">
        <v>83</v>
      </c>
    </row>
    <row r="165" customFormat="false" ht="15" hidden="false" customHeight="false" outlineLevel="0" collapsed="false">
      <c r="B165" s="0" t="s">
        <v>84</v>
      </c>
    </row>
    <row r="166" customFormat="false" ht="15" hidden="false" customHeight="false" outlineLevel="0" collapsed="false">
      <c r="B166" s="12" t="s">
        <v>85</v>
      </c>
    </row>
    <row r="167" customFormat="false" ht="15" hidden="false" customHeight="false" outlineLevel="0" collapsed="false">
      <c r="B167" s="0" t="s">
        <v>86</v>
      </c>
    </row>
    <row r="168" customFormat="false" ht="15" hidden="false" customHeight="false" outlineLevel="0" collapsed="false">
      <c r="B168" s="12" t="s">
        <v>87</v>
      </c>
    </row>
    <row r="169" customFormat="false" ht="15" hidden="false" customHeight="false" outlineLevel="0" collapsed="false">
      <c r="B169" s="0" t="s">
        <v>88</v>
      </c>
    </row>
    <row r="170" customFormat="false" ht="15" hidden="false" customHeight="false" outlineLevel="0" collapsed="false">
      <c r="B170" s="12" t="s">
        <v>89</v>
      </c>
    </row>
    <row r="171" customFormat="false" ht="15" hidden="false" customHeight="false" outlineLevel="0" collapsed="false">
      <c r="B171" s="0" t="s">
        <v>90</v>
      </c>
    </row>
    <row r="172" customFormat="false" ht="15" hidden="false" customHeight="false" outlineLevel="0" collapsed="false">
      <c r="B172" s="12" t="s">
        <v>91</v>
      </c>
    </row>
    <row r="173" customFormat="false" ht="15" hidden="false" customHeight="false" outlineLevel="0" collapsed="false">
      <c r="B173" s="0" t="s">
        <v>92</v>
      </c>
    </row>
    <row r="174" customFormat="false" ht="15" hidden="false" customHeight="false" outlineLevel="0" collapsed="false">
      <c r="B174" s="12" t="s">
        <v>93</v>
      </c>
    </row>
    <row r="175" customFormat="false" ht="15" hidden="false" customHeight="false" outlineLevel="0" collapsed="false">
      <c r="B175" s="0" t="s">
        <v>94</v>
      </c>
    </row>
    <row r="176" customFormat="false" ht="15" hidden="false" customHeight="false" outlineLevel="0" collapsed="false">
      <c r="B176" s="12" t="s">
        <v>95</v>
      </c>
    </row>
    <row r="177" customFormat="false" ht="15" hidden="false" customHeight="false" outlineLevel="0" collapsed="false">
      <c r="B177" s="0" t="s">
        <v>96</v>
      </c>
    </row>
    <row r="178" customFormat="false" ht="15" hidden="false" customHeight="false" outlineLevel="0" collapsed="false">
      <c r="B178" s="12" t="s">
        <v>97</v>
      </c>
    </row>
    <row r="179" customFormat="false" ht="15" hidden="false" customHeight="false" outlineLevel="0" collapsed="false">
      <c r="B179" s="0" t="s">
        <v>98</v>
      </c>
    </row>
    <row r="180" customFormat="false" ht="15" hidden="false" customHeight="false" outlineLevel="0" collapsed="false">
      <c r="B180" s="12" t="s">
        <v>99</v>
      </c>
    </row>
    <row r="181" customFormat="false" ht="15" hidden="false" customHeight="false" outlineLevel="0" collapsed="false">
      <c r="B181" s="0" t="s">
        <v>100</v>
      </c>
    </row>
  </sheetData>
  <printOptions headings="false" gridLines="false" gridLinesSet="true" horizontalCentered="false" verticalCentered="false"/>
  <pageMargins left="0.75" right="0.75" top="1" bottom="1" header="0.511811023622047" footer="0.511811023622047"/>
  <pageSetup paperSize="9" scale="100" fitToWidth="1" fitToHeight="1" pageOrder="downThenOver" orientation="portrait" blackAndWhite="false" draft="false" cellComments="none" horizontalDpi="300" verticalDpi="300" copies="1"/>
  <headerFooter differentFirst="false" differentOddEven="false">
    <oddHeader/>
    <oddFooter/>
  </headerFooter>
</worksheet>
</file>

<file path=xl/worksheets/sheet7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r2="http://schemas.microsoft.com/office/spreadsheetml/2015/revision2" xmlns:mc="http://schemas.openxmlformats.org/markup-compatibility/2006">
  <sheetPr filterMode="false">
    <pageSetUpPr fitToPage="false"/>
  </sheetPr>
  <dimension ref="B2:J181"/>
  <sheetViews>
    <sheetView showFormulas="false" showGridLines="true" showRowColHeaders="true" showZeros="true" rightToLeft="false" tabSelected="false" showOutlineSymbols="true" defaultGridColor="true" view="normal" topLeftCell="A1" colorId="64" zoomScale="100" zoomScaleNormal="100" zoomScalePageLayoutView="100" workbookViewId="0">
      <selection pane="topLeft" activeCell="A1" activeCellId="0" sqref="A1"/>
    </sheetView>
  </sheetViews>
  <sheetFormatPr defaultColWidth="8.6796875" defaultRowHeight="15" zeroHeight="false" outlineLevelRow="0" outlineLevelCol="0"/>
  <cols>
    <col collapsed="false" customWidth="true" hidden="false" outlineLevel="0" max="1" min="1" style="0" width="3"/>
    <col collapsed="false" customWidth="true" hidden="false" outlineLevel="0" max="2" min="2" style="0" width="46"/>
    <col collapsed="false" customWidth="true" hidden="false" outlineLevel="0" max="3" min="3" style="0" width="30"/>
    <col collapsed="false" customWidth="true" hidden="false" outlineLevel="0" max="6" min="4" style="0" width="18"/>
    <col collapsed="false" customWidth="true" hidden="false" outlineLevel="0" max="7" min="7" style="0" width="44"/>
    <col collapsed="false" customWidth="true" hidden="false" outlineLevel="0" max="9" min="8" style="0" width="12"/>
    <col collapsed="false" customWidth="true" hidden="false" outlineLevel="0" max="10" min="10" style="0" width="18"/>
  </cols>
  <sheetData>
    <row r="2" customFormat="false" ht="17.35" hidden="false" customHeight="false" outlineLevel="0" collapsed="false">
      <c r="B2" s="1" t="s">
        <v>4</v>
      </c>
    </row>
    <row r="3" customFormat="false" ht="15" hidden="false" customHeight="false" outlineLevel="0" collapsed="false">
      <c r="B3" s="0" t="s">
        <v>5</v>
      </c>
    </row>
    <row r="4" customFormat="false" ht="15" hidden="false" customHeight="false" outlineLevel="0" collapsed="false">
      <c r="B4" s="0" t="s">
        <v>6</v>
      </c>
    </row>
    <row r="18" customFormat="false" ht="15" hidden="false" customHeight="false" outlineLevel="0" collapsed="false">
      <c r="B18" s="3" t="s">
        <v>7</v>
      </c>
    </row>
    <row r="19" customFormat="false" ht="15" hidden="false" customHeight="false" outlineLevel="0" collapsed="false">
      <c r="B19" s="4" t="s">
        <v>8</v>
      </c>
    </row>
    <row r="20" customFormat="false" ht="15" hidden="false" customHeight="false" outlineLevel="0" collapsed="false">
      <c r="B20" s="5" t="s">
        <v>9</v>
      </c>
    </row>
    <row r="21" customFormat="false" ht="15" hidden="false" customHeight="false" outlineLevel="0" collapsed="false">
      <c r="B21" s="6" t="s">
        <v>10</v>
      </c>
    </row>
    <row r="24" customFormat="false" ht="15" hidden="false" customHeight="false" outlineLevel="0" collapsed="false">
      <c r="B24" s="0" t="s">
        <v>11</v>
      </c>
      <c r="D24" s="3" t="s">
        <v>12</v>
      </c>
    </row>
    <row r="26" customFormat="false" ht="15" hidden="false" customHeight="false" outlineLevel="0" collapsed="false">
      <c r="B26" s="0" t="s">
        <v>13</v>
      </c>
      <c r="E26" s="7" t="n">
        <v>46054</v>
      </c>
    </row>
    <row r="28" customFormat="false" ht="15" hidden="false" customHeight="false" outlineLevel="0" collapsed="false">
      <c r="B28" s="0" t="s">
        <v>14</v>
      </c>
      <c r="J28" s="8" t="n">
        <v>19092700</v>
      </c>
    </row>
    <row r="29" customFormat="false" ht="15" hidden="false" customHeight="false" outlineLevel="0" collapsed="false">
      <c r="B29" s="0" t="s">
        <v>15</v>
      </c>
      <c r="J29" s="3" t="s">
        <v>16</v>
      </c>
    </row>
    <row r="31" customFormat="false" ht="15" hidden="false" customHeight="false" outlineLevel="0" collapsed="false">
      <c r="B31" s="0" t="s">
        <v>17</v>
      </c>
      <c r="F31" s="9" t="n">
        <v>0.0507</v>
      </c>
    </row>
    <row r="33" customFormat="false" ht="15" hidden="false" customHeight="false" outlineLevel="0" collapsed="false">
      <c r="B33" s="0" t="s">
        <v>18</v>
      </c>
      <c r="F33" s="9" t="n">
        <v>0.0444</v>
      </c>
    </row>
    <row r="35" customFormat="false" ht="15" hidden="false" customHeight="false" outlineLevel="0" collapsed="false">
      <c r="B35" s="0" t="s">
        <v>19</v>
      </c>
      <c r="F35" s="9" t="n">
        <v>0.4227</v>
      </c>
    </row>
    <row r="37" customFormat="false" ht="15" hidden="false" customHeight="false" outlineLevel="0" collapsed="false">
      <c r="B37" s="0" t="s">
        <v>20</v>
      </c>
      <c r="F37" s="9" t="n">
        <v>0.3612</v>
      </c>
    </row>
    <row r="39" customFormat="false" ht="15" hidden="false" customHeight="false" outlineLevel="0" collapsed="false">
      <c r="B39" s="0" t="s">
        <v>21</v>
      </c>
      <c r="F39" s="10" t="n">
        <f aca="false">F37*J28</f>
        <v>6896283.24</v>
      </c>
    </row>
    <row r="41" customFormat="false" ht="15" hidden="false" customHeight="false" outlineLevel="0" collapsed="false">
      <c r="B41" s="0" t="s">
        <v>22</v>
      </c>
      <c r="F41" s="10" t="n">
        <f aca="false">E74</f>
        <v>0</v>
      </c>
    </row>
    <row r="43" customFormat="false" ht="15" hidden="false" customHeight="false" outlineLevel="0" collapsed="false">
      <c r="B43" s="0" t="s">
        <v>23</v>
      </c>
      <c r="F43" s="10" t="n">
        <f aca="false">E88</f>
        <v>0</v>
      </c>
    </row>
    <row r="45" customFormat="false" ht="15" hidden="false" customHeight="false" outlineLevel="0" collapsed="false">
      <c r="B45" s="0" t="s">
        <v>24</v>
      </c>
      <c r="F45" s="10" t="n">
        <f aca="false">J74</f>
        <v>0</v>
      </c>
    </row>
    <row r="47" customFormat="false" ht="15" hidden="false" customHeight="false" outlineLevel="0" collapsed="false">
      <c r="B47" s="0" t="s">
        <v>25</v>
      </c>
      <c r="F47" s="10" t="n">
        <f aca="false">J88</f>
        <v>226104.47</v>
      </c>
    </row>
    <row r="49" customFormat="false" ht="15" hidden="false" customHeight="false" outlineLevel="0" collapsed="false">
      <c r="B49" s="0" t="s">
        <v>26</v>
      </c>
      <c r="F49" s="10" t="n">
        <f aca="false">E102</f>
        <v>62500</v>
      </c>
    </row>
    <row r="51" customFormat="false" ht="15" hidden="false" customHeight="false" outlineLevel="0" collapsed="false">
      <c r="B51" s="0" t="s">
        <v>27</v>
      </c>
      <c r="F51" s="10" t="n">
        <f aca="false">J102</f>
        <v>0</v>
      </c>
    </row>
    <row r="53" customFormat="false" ht="15" hidden="false" customHeight="false" outlineLevel="0" collapsed="false">
      <c r="B53" s="0" t="s">
        <v>28</v>
      </c>
      <c r="F53" s="10" t="n">
        <f aca="false">E115</f>
        <v>203346.25</v>
      </c>
    </row>
    <row r="55" customFormat="false" ht="15" hidden="false" customHeight="false" outlineLevel="0" collapsed="false">
      <c r="B55" s="0" t="s">
        <v>29</v>
      </c>
      <c r="F55" s="8" t="n">
        <v>6995156.81</v>
      </c>
    </row>
    <row r="56" customFormat="false" ht="15" hidden="false" customHeight="false" outlineLevel="0" collapsed="false">
      <c r="B56" s="0" t="s">
        <v>30</v>
      </c>
      <c r="F56" s="10" t="n">
        <f aca="false">F55-J115</f>
        <v>6995156.81</v>
      </c>
    </row>
    <row r="58" customFormat="false" ht="15" hidden="false" customHeight="false" outlineLevel="0" collapsed="false">
      <c r="B58" s="0" t="s">
        <v>31</v>
      </c>
      <c r="F58" s="10" t="n">
        <f aca="false">E129</f>
        <v>0</v>
      </c>
    </row>
    <row r="63" customFormat="false" ht="15" hidden="false" customHeight="false" outlineLevel="0" collapsed="false">
      <c r="B63" s="11" t="s">
        <v>32</v>
      </c>
      <c r="G63" s="11" t="s">
        <v>33</v>
      </c>
    </row>
    <row r="74" customFormat="false" ht="15" hidden="false" customHeight="false" outlineLevel="0" collapsed="false">
      <c r="B74" s="12" t="s">
        <v>34</v>
      </c>
      <c r="E74" s="13" t="n">
        <f aca="false">SUM(E64:E73)</f>
        <v>0</v>
      </c>
      <c r="G74" s="12" t="s">
        <v>34</v>
      </c>
      <c r="J74" s="13" t="n">
        <f aca="false">SUM(J64:J73)</f>
        <v>0</v>
      </c>
    </row>
    <row r="77" customFormat="false" ht="15" hidden="false" customHeight="false" outlineLevel="0" collapsed="false">
      <c r="B77" s="11" t="s">
        <v>35</v>
      </c>
      <c r="G77" s="11" t="s">
        <v>36</v>
      </c>
    </row>
    <row r="78" customFormat="false" ht="15" hidden="false" customHeight="false" outlineLevel="0" collapsed="false">
      <c r="G78" s="0" t="s">
        <v>104</v>
      </c>
      <c r="J78" s="14" t="n">
        <v>65924.95</v>
      </c>
    </row>
    <row r="79" customFormat="false" ht="15" hidden="false" customHeight="false" outlineLevel="0" collapsed="false">
      <c r="G79" s="0" t="s">
        <v>105</v>
      </c>
      <c r="J79" s="14" t="n">
        <v>60439.94</v>
      </c>
    </row>
    <row r="80" customFormat="false" ht="15" hidden="false" customHeight="false" outlineLevel="0" collapsed="false">
      <c r="G80" s="0" t="s">
        <v>106</v>
      </c>
      <c r="J80" s="14" t="n">
        <v>48282.49</v>
      </c>
    </row>
    <row r="81" customFormat="false" ht="15" hidden="false" customHeight="false" outlineLevel="0" collapsed="false">
      <c r="G81" s="0" t="s">
        <v>107</v>
      </c>
      <c r="J81" s="14" t="n">
        <v>51457.09</v>
      </c>
    </row>
    <row r="88" customFormat="false" ht="15" hidden="false" customHeight="false" outlineLevel="0" collapsed="false">
      <c r="B88" s="12" t="s">
        <v>34</v>
      </c>
      <c r="E88" s="13" t="n">
        <f aca="false">SUM(E78:E87)</f>
        <v>0</v>
      </c>
      <c r="G88" s="12" t="s">
        <v>34</v>
      </c>
      <c r="J88" s="13" t="n">
        <f aca="false">SUM(J78:J87)</f>
        <v>226104.47</v>
      </c>
    </row>
    <row r="91" customFormat="false" ht="15" hidden="false" customHeight="false" outlineLevel="0" collapsed="false">
      <c r="B91" s="11" t="s">
        <v>40</v>
      </c>
      <c r="G91" s="11" t="s">
        <v>41</v>
      </c>
    </row>
    <row r="92" customFormat="false" ht="15" hidden="false" customHeight="false" outlineLevel="0" collapsed="false">
      <c r="B92" s="0" t="s">
        <v>42</v>
      </c>
      <c r="E92" s="14" t="n">
        <v>9800</v>
      </c>
    </row>
    <row r="93" customFormat="false" ht="15" hidden="false" customHeight="false" outlineLevel="0" collapsed="false">
      <c r="B93" s="0" t="s">
        <v>43</v>
      </c>
      <c r="E93" s="14" t="n">
        <v>38500</v>
      </c>
    </row>
    <row r="94" customFormat="false" ht="15" hidden="false" customHeight="false" outlineLevel="0" collapsed="false">
      <c r="B94" s="0" t="s">
        <v>44</v>
      </c>
      <c r="E94" s="14" t="n">
        <v>14200</v>
      </c>
    </row>
    <row r="102" customFormat="false" ht="15" hidden="false" customHeight="false" outlineLevel="0" collapsed="false">
      <c r="B102" s="12" t="s">
        <v>34</v>
      </c>
      <c r="E102" s="13" t="n">
        <f aca="false">SUM(E92:E101)</f>
        <v>62500</v>
      </c>
      <c r="G102" s="12" t="s">
        <v>34</v>
      </c>
      <c r="J102" s="13" t="n">
        <f aca="false">SUM(J92:J101)</f>
        <v>0</v>
      </c>
    </row>
    <row r="105" customFormat="false" ht="15" hidden="false" customHeight="false" outlineLevel="0" collapsed="false">
      <c r="B105" s="11" t="s">
        <v>45</v>
      </c>
      <c r="G105" s="11" t="s">
        <v>46</v>
      </c>
    </row>
    <row r="106" customFormat="false" ht="15" hidden="false" customHeight="false" outlineLevel="0" collapsed="false">
      <c r="B106" s="0" t="s">
        <v>121</v>
      </c>
      <c r="E106" s="14" t="n">
        <v>41653.78</v>
      </c>
    </row>
    <row r="107" customFormat="false" ht="15" hidden="false" customHeight="false" outlineLevel="0" collapsed="false">
      <c r="B107" s="0" t="s">
        <v>122</v>
      </c>
      <c r="E107" s="14" t="n">
        <v>71203.8</v>
      </c>
    </row>
    <row r="108" customFormat="false" ht="15" hidden="false" customHeight="false" outlineLevel="0" collapsed="false">
      <c r="B108" s="0" t="s">
        <v>123</v>
      </c>
      <c r="E108" s="14" t="n">
        <v>43166.57</v>
      </c>
    </row>
    <row r="109" customFormat="false" ht="15" hidden="false" customHeight="false" outlineLevel="0" collapsed="false">
      <c r="B109" s="0" t="s">
        <v>124</v>
      </c>
      <c r="E109" s="14" t="n">
        <v>47322.1</v>
      </c>
    </row>
    <row r="115" customFormat="false" ht="15" hidden="false" customHeight="false" outlineLevel="0" collapsed="false">
      <c r="B115" s="12" t="s">
        <v>34</v>
      </c>
      <c r="E115" s="13" t="n">
        <f aca="false">SUM(E106:E114)</f>
        <v>203346.25</v>
      </c>
      <c r="G115" s="12" t="s">
        <v>34</v>
      </c>
      <c r="J115" s="13" t="n">
        <f aca="false">SUM(J106:J114)</f>
        <v>0</v>
      </c>
    </row>
    <row r="118" customFormat="false" ht="15" hidden="false" customHeight="false" outlineLevel="0" collapsed="false">
      <c r="B118" s="11" t="s">
        <v>50</v>
      </c>
    </row>
    <row r="129" customFormat="false" ht="15" hidden="false" customHeight="false" outlineLevel="0" collapsed="false">
      <c r="B129" s="12" t="s">
        <v>34</v>
      </c>
      <c r="E129" s="13" t="n">
        <f aca="false">SUM(E119:E128)</f>
        <v>0</v>
      </c>
    </row>
    <row r="132" customFormat="false" ht="17.35" hidden="false" customHeight="false" outlineLevel="0" collapsed="false">
      <c r="B132" s="1" t="s">
        <v>51</v>
      </c>
    </row>
    <row r="135" customFormat="false" ht="15" hidden="false" customHeight="false" outlineLevel="0" collapsed="false">
      <c r="G135" s="12" t="s">
        <v>52</v>
      </c>
    </row>
    <row r="136" customFormat="false" ht="15" hidden="false" customHeight="false" outlineLevel="0" collapsed="false">
      <c r="C136" s="0" t="s">
        <v>53</v>
      </c>
      <c r="D136" s="4" t="str">
        <f aca="false">D24</f>
        <v>POTENGI</v>
      </c>
      <c r="G136" s="15" t="s">
        <v>54</v>
      </c>
      <c r="J136" s="8" t="n">
        <v>934343.33</v>
      </c>
    </row>
    <row r="137" customFormat="false" ht="15" hidden="false" customHeight="false" outlineLevel="0" collapsed="false">
      <c r="C137" s="0" t="s">
        <v>55</v>
      </c>
      <c r="D137" s="10" t="n">
        <f aca="false">J28</f>
        <v>19092700</v>
      </c>
      <c r="G137" s="15" t="s">
        <v>56</v>
      </c>
      <c r="J137" s="8" t="n">
        <v>860821.96</v>
      </c>
    </row>
    <row r="138" customFormat="false" ht="15" hidden="false" customHeight="false" outlineLevel="0" collapsed="false">
      <c r="C138" s="0" t="s">
        <v>15</v>
      </c>
      <c r="D138" s="4" t="str">
        <f aca="false">J29</f>
        <v>Orçamento executivo</v>
      </c>
      <c r="G138" s="15" t="s">
        <v>57</v>
      </c>
      <c r="J138" s="10" t="n">
        <f aca="false">J137-J136</f>
        <v>-73521.37</v>
      </c>
    </row>
    <row r="139" customFormat="false" ht="15" hidden="false" customHeight="false" outlineLevel="0" collapsed="false">
      <c r="C139" s="0" t="s">
        <v>58</v>
      </c>
      <c r="D139" s="16" t="n">
        <f aca="false">E26</f>
        <v>46054</v>
      </c>
      <c r="G139" s="15" t="s">
        <v>59</v>
      </c>
    </row>
    <row r="140" customFormat="false" ht="15" hidden="false" customHeight="false" outlineLevel="0" collapsed="false">
      <c r="C140" s="0" t="s">
        <v>60</v>
      </c>
      <c r="D140" s="17" t="n">
        <f aca="false">F31</f>
        <v>0.0507</v>
      </c>
    </row>
    <row r="141" customFormat="false" ht="15" hidden="false" customHeight="false" outlineLevel="0" collapsed="false">
      <c r="C141" s="0" t="s">
        <v>61</v>
      </c>
      <c r="D141" s="17" t="n">
        <f aca="false">F33</f>
        <v>0.0444</v>
      </c>
    </row>
    <row r="142" customFormat="false" ht="15" hidden="false" customHeight="false" outlineLevel="0" collapsed="false">
      <c r="C142" s="0" t="s">
        <v>62</v>
      </c>
      <c r="D142" s="17" t="n">
        <f aca="false">F35</f>
        <v>0.4227</v>
      </c>
    </row>
    <row r="143" customFormat="false" ht="15" hidden="false" customHeight="false" outlineLevel="0" collapsed="false">
      <c r="C143" s="0" t="s">
        <v>63</v>
      </c>
      <c r="D143" s="17" t="n">
        <f aca="false">F37</f>
        <v>0.3612</v>
      </c>
    </row>
    <row r="145" customFormat="false" ht="15" hidden="false" customHeight="false" outlineLevel="0" collapsed="false">
      <c r="B145" s="0" t="s">
        <v>64</v>
      </c>
      <c r="C145" s="0" t="s">
        <v>65</v>
      </c>
      <c r="D145" s="10" t="n">
        <f aca="false">F39</f>
        <v>6896283.24</v>
      </c>
      <c r="E145" s="18" t="n">
        <f aca="false">D145/$D$137</f>
        <v>0.3612</v>
      </c>
    </row>
    <row r="146" customFormat="false" ht="15" hidden="false" customHeight="false" outlineLevel="0" collapsed="false">
      <c r="B146" s="0" t="s">
        <v>66</v>
      </c>
      <c r="C146" s="0" t="s">
        <v>32</v>
      </c>
      <c r="D146" s="10" t="n">
        <f aca="false">F41</f>
        <v>0</v>
      </c>
      <c r="E146" s="18" t="n">
        <f aca="false">D146/$D$137</f>
        <v>0</v>
      </c>
    </row>
    <row r="147" customFormat="false" ht="15" hidden="false" customHeight="false" outlineLevel="0" collapsed="false">
      <c r="B147" s="0" t="s">
        <v>67</v>
      </c>
      <c r="C147" s="0" t="s">
        <v>35</v>
      </c>
      <c r="D147" s="10" t="n">
        <f aca="false">F43</f>
        <v>0</v>
      </c>
      <c r="E147" s="18" t="n">
        <f aca="false">D147/$D$137</f>
        <v>0</v>
      </c>
    </row>
    <row r="148" customFormat="false" ht="15" hidden="false" customHeight="false" outlineLevel="0" collapsed="false">
      <c r="B148" s="0" t="s">
        <v>68</v>
      </c>
      <c r="C148" s="0" t="s">
        <v>33</v>
      </c>
      <c r="D148" s="10" t="n">
        <f aca="false">F45</f>
        <v>0</v>
      </c>
      <c r="E148" s="18" t="n">
        <f aca="false">D148/$D$137</f>
        <v>0</v>
      </c>
    </row>
    <row r="149" customFormat="false" ht="15" hidden="false" customHeight="false" outlineLevel="0" collapsed="false">
      <c r="B149" s="0" t="s">
        <v>69</v>
      </c>
      <c r="C149" s="0" t="s">
        <v>36</v>
      </c>
      <c r="D149" s="10" t="n">
        <f aca="false">F47</f>
        <v>226104.47</v>
      </c>
      <c r="E149" s="18" t="n">
        <f aca="false">D149/$D$137</f>
        <v>0.0118424565409816</v>
      </c>
    </row>
    <row r="150" customFormat="false" ht="15" hidden="false" customHeight="false" outlineLevel="0" collapsed="false">
      <c r="B150" s="0" t="s">
        <v>70</v>
      </c>
      <c r="C150" s="0" t="s">
        <v>71</v>
      </c>
      <c r="D150" s="10" t="n">
        <f aca="false">F49</f>
        <v>62500</v>
      </c>
      <c r="E150" s="18" t="n">
        <f aca="false">D150/$D$137</f>
        <v>0.00327350243810462</v>
      </c>
    </row>
    <row r="151" customFormat="false" ht="15" hidden="false" customHeight="false" outlineLevel="0" collapsed="false">
      <c r="B151" s="0" t="s">
        <v>72</v>
      </c>
      <c r="C151" s="0" t="s">
        <v>73</v>
      </c>
      <c r="D151" s="10" t="n">
        <f aca="false">F51</f>
        <v>0</v>
      </c>
      <c r="E151" s="18" t="n">
        <f aca="false">D151/$D$137</f>
        <v>0</v>
      </c>
    </row>
    <row r="152" customFormat="false" ht="15" hidden="false" customHeight="false" outlineLevel="0" collapsed="false">
      <c r="B152" s="0" t="s">
        <v>74</v>
      </c>
      <c r="C152" s="0" t="s">
        <v>45</v>
      </c>
      <c r="D152" s="10" t="n">
        <f aca="false">F53</f>
        <v>203346.25</v>
      </c>
      <c r="E152" s="18" t="n">
        <f aca="false">D152/$D$137</f>
        <v>0.0106504711224709</v>
      </c>
    </row>
    <row r="153" customFormat="false" ht="15" hidden="false" customHeight="false" outlineLevel="0" collapsed="false">
      <c r="B153" s="0" t="s">
        <v>75</v>
      </c>
      <c r="C153" s="0" t="s">
        <v>76</v>
      </c>
      <c r="D153" s="10" t="n">
        <f aca="false">F56</f>
        <v>6995156.81</v>
      </c>
      <c r="E153" s="18" t="n">
        <f aca="false">D153/$D$137</f>
        <v>0.366378605959346</v>
      </c>
    </row>
    <row r="154" customFormat="false" ht="15" hidden="false" customHeight="false" outlineLevel="0" collapsed="false">
      <c r="B154" s="0" t="s">
        <v>77</v>
      </c>
      <c r="C154" s="0" t="s">
        <v>50</v>
      </c>
      <c r="D154" s="10" t="n">
        <f aca="false">F58</f>
        <v>0</v>
      </c>
      <c r="E154" s="18" t="n">
        <f aca="false">D154/$D$137</f>
        <v>0</v>
      </c>
    </row>
    <row r="155" customFormat="false" ht="15" hidden="false" customHeight="false" outlineLevel="0" collapsed="false">
      <c r="C155" s="12" t="s">
        <v>78</v>
      </c>
      <c r="D155" s="13" t="n">
        <f aca="false">D145+D146+D147+D148+D149+D150+D151-D152-D153-D154</f>
        <v>-13615.3499999996</v>
      </c>
      <c r="E155" s="19" t="n">
        <f aca="false">D155/D137</f>
        <v>-0.000713118102730343</v>
      </c>
    </row>
    <row r="156" customFormat="false" ht="15" hidden="false" customHeight="false" outlineLevel="0" collapsed="false">
      <c r="C156" s="0" t="s">
        <v>79</v>
      </c>
      <c r="D156" s="10" t="n">
        <f aca="false">JAN26!D155</f>
        <v>-394.671999999322</v>
      </c>
      <c r="E156" s="17" t="n">
        <f aca="false">JAN26!E155</f>
        <v>-2.07567412917174E-005</v>
      </c>
    </row>
    <row r="160" customFormat="false" ht="15" hidden="false" customHeight="false" outlineLevel="0" collapsed="false">
      <c r="B160" s="12" t="s">
        <v>80</v>
      </c>
    </row>
    <row r="162" customFormat="false" ht="15" hidden="false" customHeight="false" outlineLevel="0" collapsed="false">
      <c r="B162" s="12" t="s">
        <v>81</v>
      </c>
    </row>
    <row r="163" customFormat="false" ht="15" hidden="false" customHeight="false" outlineLevel="0" collapsed="false">
      <c r="B163" s="0" t="s">
        <v>82</v>
      </c>
    </row>
    <row r="164" customFormat="false" ht="15" hidden="false" customHeight="false" outlineLevel="0" collapsed="false">
      <c r="B164" s="12" t="s">
        <v>83</v>
      </c>
    </row>
    <row r="165" customFormat="false" ht="15" hidden="false" customHeight="false" outlineLevel="0" collapsed="false">
      <c r="B165" s="0" t="s">
        <v>84</v>
      </c>
    </row>
    <row r="166" customFormat="false" ht="15" hidden="false" customHeight="false" outlineLevel="0" collapsed="false">
      <c r="B166" s="12" t="s">
        <v>85</v>
      </c>
    </row>
    <row r="167" customFormat="false" ht="15" hidden="false" customHeight="false" outlineLevel="0" collapsed="false">
      <c r="B167" s="0" t="s">
        <v>86</v>
      </c>
    </row>
    <row r="168" customFormat="false" ht="15" hidden="false" customHeight="false" outlineLevel="0" collapsed="false">
      <c r="B168" s="12" t="s">
        <v>87</v>
      </c>
    </row>
    <row r="169" customFormat="false" ht="15" hidden="false" customHeight="false" outlineLevel="0" collapsed="false">
      <c r="B169" s="0" t="s">
        <v>88</v>
      </c>
    </row>
    <row r="170" customFormat="false" ht="15" hidden="false" customHeight="false" outlineLevel="0" collapsed="false">
      <c r="B170" s="12" t="s">
        <v>89</v>
      </c>
    </row>
    <row r="171" customFormat="false" ht="15" hidden="false" customHeight="false" outlineLevel="0" collapsed="false">
      <c r="B171" s="0" t="s">
        <v>90</v>
      </c>
    </row>
    <row r="172" customFormat="false" ht="15" hidden="false" customHeight="false" outlineLevel="0" collapsed="false">
      <c r="B172" s="12" t="s">
        <v>91</v>
      </c>
    </row>
    <row r="173" customFormat="false" ht="15" hidden="false" customHeight="false" outlineLevel="0" collapsed="false">
      <c r="B173" s="0" t="s">
        <v>92</v>
      </c>
    </row>
    <row r="174" customFormat="false" ht="15" hidden="false" customHeight="false" outlineLevel="0" collapsed="false">
      <c r="B174" s="12" t="s">
        <v>93</v>
      </c>
    </row>
    <row r="175" customFormat="false" ht="15" hidden="false" customHeight="false" outlineLevel="0" collapsed="false">
      <c r="B175" s="0" t="s">
        <v>94</v>
      </c>
    </row>
    <row r="176" customFormat="false" ht="15" hidden="false" customHeight="false" outlineLevel="0" collapsed="false">
      <c r="B176" s="12" t="s">
        <v>95</v>
      </c>
    </row>
    <row r="177" customFormat="false" ht="15" hidden="false" customHeight="false" outlineLevel="0" collapsed="false">
      <c r="B177" s="0" t="s">
        <v>96</v>
      </c>
    </row>
    <row r="178" customFormat="false" ht="15" hidden="false" customHeight="false" outlineLevel="0" collapsed="false">
      <c r="B178" s="12" t="s">
        <v>97</v>
      </c>
    </row>
    <row r="179" customFormat="false" ht="15" hidden="false" customHeight="false" outlineLevel="0" collapsed="false">
      <c r="B179" s="0" t="s">
        <v>98</v>
      </c>
    </row>
    <row r="180" customFormat="false" ht="15" hidden="false" customHeight="false" outlineLevel="0" collapsed="false">
      <c r="B180" s="12" t="s">
        <v>99</v>
      </c>
    </row>
    <row r="181" customFormat="false" ht="15" hidden="false" customHeight="false" outlineLevel="0" collapsed="false">
      <c r="B181" s="0" t="s">
        <v>100</v>
      </c>
    </row>
  </sheetData>
  <printOptions headings="false" gridLines="false" gridLinesSet="true" horizontalCentered="false" verticalCentered="false"/>
  <pageMargins left="0.75" right="0.75" top="1" bottom="1" header="0.511811023622047" footer="0.511811023622047"/>
  <pageSetup paperSize="9" scale="100" fitToWidth="1" fitToHeight="1" pageOrder="downThenOver" orientation="portrait" blackAndWhite="false" draft="false" cellComments="none" horizontalDpi="300" verticalDpi="300" copies="1"/>
  <headerFooter differentFirst="false" differentOddEven="false">
    <oddHeader/>
    <oddFooter/>
  </headerFooter>
</worksheet>
</file>

<file path=xl/worksheets/sheet8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r2="http://schemas.microsoft.com/office/spreadsheetml/2015/revision2" xmlns:mc="http://schemas.openxmlformats.org/markup-compatibility/2006">
  <sheetPr filterMode="false">
    <pageSetUpPr fitToPage="false"/>
  </sheetPr>
  <dimension ref="B2:J181"/>
  <sheetViews>
    <sheetView showFormulas="false" showGridLines="true" showRowColHeaders="true" showZeros="true" rightToLeft="false" tabSelected="false" showOutlineSymbols="true" defaultGridColor="true" view="normal" topLeftCell="A1" colorId="64" zoomScale="100" zoomScaleNormal="100" zoomScalePageLayoutView="100" workbookViewId="0">
      <selection pane="topLeft" activeCell="A1" activeCellId="0" sqref="A1"/>
    </sheetView>
  </sheetViews>
  <sheetFormatPr defaultColWidth="8.6796875" defaultRowHeight="15" zeroHeight="false" outlineLevelRow="0" outlineLevelCol="0"/>
  <cols>
    <col collapsed="false" customWidth="true" hidden="false" outlineLevel="0" max="1" min="1" style="0" width="3"/>
    <col collapsed="false" customWidth="true" hidden="false" outlineLevel="0" max="2" min="2" style="0" width="46"/>
    <col collapsed="false" customWidth="true" hidden="false" outlineLevel="0" max="3" min="3" style="0" width="30"/>
    <col collapsed="false" customWidth="true" hidden="false" outlineLevel="0" max="6" min="4" style="0" width="18"/>
    <col collapsed="false" customWidth="true" hidden="false" outlineLevel="0" max="7" min="7" style="0" width="44"/>
    <col collapsed="false" customWidth="true" hidden="false" outlineLevel="0" max="9" min="8" style="0" width="12"/>
    <col collapsed="false" customWidth="true" hidden="false" outlineLevel="0" max="10" min="10" style="0" width="18"/>
  </cols>
  <sheetData>
    <row r="2" customFormat="false" ht="17.35" hidden="false" customHeight="false" outlineLevel="0" collapsed="false">
      <c r="B2" s="1" t="s">
        <v>4</v>
      </c>
    </row>
    <row r="3" customFormat="false" ht="15" hidden="false" customHeight="false" outlineLevel="0" collapsed="false">
      <c r="B3" s="0" t="s">
        <v>5</v>
      </c>
    </row>
    <row r="4" customFormat="false" ht="15" hidden="false" customHeight="false" outlineLevel="0" collapsed="false">
      <c r="B4" s="0" t="s">
        <v>6</v>
      </c>
    </row>
    <row r="18" customFormat="false" ht="15" hidden="false" customHeight="false" outlineLevel="0" collapsed="false">
      <c r="B18" s="3" t="s">
        <v>7</v>
      </c>
    </row>
    <row r="19" customFormat="false" ht="15" hidden="false" customHeight="false" outlineLevel="0" collapsed="false">
      <c r="B19" s="4" t="s">
        <v>8</v>
      </c>
    </row>
    <row r="20" customFormat="false" ht="15" hidden="false" customHeight="false" outlineLevel="0" collapsed="false">
      <c r="B20" s="5" t="s">
        <v>9</v>
      </c>
    </row>
    <row r="21" customFormat="false" ht="15" hidden="false" customHeight="false" outlineLevel="0" collapsed="false">
      <c r="B21" s="6" t="s">
        <v>10</v>
      </c>
    </row>
    <row r="24" customFormat="false" ht="15" hidden="false" customHeight="false" outlineLevel="0" collapsed="false">
      <c r="B24" s="0" t="s">
        <v>11</v>
      </c>
      <c r="D24" s="3" t="s">
        <v>12</v>
      </c>
    </row>
    <row r="26" customFormat="false" ht="15" hidden="false" customHeight="false" outlineLevel="0" collapsed="false">
      <c r="B26" s="0" t="s">
        <v>13</v>
      </c>
      <c r="E26" s="7" t="n">
        <v>46082</v>
      </c>
    </row>
    <row r="28" customFormat="false" ht="15" hidden="false" customHeight="false" outlineLevel="0" collapsed="false">
      <c r="B28" s="0" t="s">
        <v>14</v>
      </c>
      <c r="J28" s="8" t="n">
        <v>19171240</v>
      </c>
    </row>
    <row r="29" customFormat="false" ht="15" hidden="false" customHeight="false" outlineLevel="0" collapsed="false">
      <c r="B29" s="0" t="s">
        <v>15</v>
      </c>
      <c r="J29" s="3" t="s">
        <v>16</v>
      </c>
    </row>
    <row r="31" customFormat="false" ht="15" hidden="false" customHeight="false" outlineLevel="0" collapsed="false">
      <c r="B31" s="0" t="s">
        <v>17</v>
      </c>
      <c r="F31" s="9" t="n">
        <v>0.0514</v>
      </c>
    </row>
    <row r="33" customFormat="false" ht="15" hidden="false" customHeight="false" outlineLevel="0" collapsed="false">
      <c r="B33" s="0" t="s">
        <v>18</v>
      </c>
      <c r="F33" s="9" t="n">
        <v>0.0342</v>
      </c>
    </row>
    <row r="35" customFormat="false" ht="15" hidden="false" customHeight="false" outlineLevel="0" collapsed="false">
      <c r="B35" s="0" t="s">
        <v>19</v>
      </c>
      <c r="F35" s="9" t="n">
        <v>0.4741</v>
      </c>
    </row>
    <row r="37" customFormat="false" ht="15" hidden="false" customHeight="false" outlineLevel="0" collapsed="false">
      <c r="B37" s="0" t="s">
        <v>20</v>
      </c>
      <c r="F37" s="9" t="n">
        <v>0.3954</v>
      </c>
    </row>
    <row r="39" customFormat="false" ht="15" hidden="false" customHeight="false" outlineLevel="0" collapsed="false">
      <c r="B39" s="0" t="s">
        <v>21</v>
      </c>
      <c r="F39" s="10" t="n">
        <f aca="false">F37*J28</f>
        <v>7580308.296</v>
      </c>
    </row>
    <row r="41" customFormat="false" ht="15" hidden="false" customHeight="false" outlineLevel="0" collapsed="false">
      <c r="B41" s="0" t="s">
        <v>22</v>
      </c>
      <c r="F41" s="10" t="n">
        <f aca="false">E74</f>
        <v>0</v>
      </c>
    </row>
    <row r="43" customFormat="false" ht="15" hidden="false" customHeight="false" outlineLevel="0" collapsed="false">
      <c r="B43" s="0" t="s">
        <v>23</v>
      </c>
      <c r="F43" s="10" t="n">
        <f aca="false">E88</f>
        <v>0</v>
      </c>
    </row>
    <row r="45" customFormat="false" ht="15" hidden="false" customHeight="false" outlineLevel="0" collapsed="false">
      <c r="B45" s="0" t="s">
        <v>24</v>
      </c>
      <c r="F45" s="10" t="n">
        <f aca="false">J74</f>
        <v>0</v>
      </c>
    </row>
    <row r="47" customFormat="false" ht="15" hidden="false" customHeight="false" outlineLevel="0" collapsed="false">
      <c r="B47" s="0" t="s">
        <v>25</v>
      </c>
      <c r="F47" s="10" t="n">
        <f aca="false">J88</f>
        <v>160438.09</v>
      </c>
    </row>
    <row r="49" customFormat="false" ht="15" hidden="false" customHeight="false" outlineLevel="0" collapsed="false">
      <c r="B49" s="0" t="s">
        <v>26</v>
      </c>
      <c r="F49" s="10" t="n">
        <f aca="false">E102</f>
        <v>62500</v>
      </c>
    </row>
    <row r="51" customFormat="false" ht="15" hidden="false" customHeight="false" outlineLevel="0" collapsed="false">
      <c r="B51" s="0" t="s">
        <v>27</v>
      </c>
      <c r="F51" s="10" t="n">
        <f aca="false">J102</f>
        <v>0</v>
      </c>
    </row>
    <row r="53" customFormat="false" ht="15" hidden="false" customHeight="false" outlineLevel="0" collapsed="false">
      <c r="B53" s="0" t="s">
        <v>28</v>
      </c>
      <c r="F53" s="10" t="n">
        <f aca="false">E115</f>
        <v>149085.54</v>
      </c>
    </row>
    <row r="55" customFormat="false" ht="15" hidden="false" customHeight="false" outlineLevel="0" collapsed="false">
      <c r="B55" s="0" t="s">
        <v>29</v>
      </c>
      <c r="F55" s="8" t="n">
        <v>7679848.55</v>
      </c>
    </row>
    <row r="56" customFormat="false" ht="15" hidden="false" customHeight="false" outlineLevel="0" collapsed="false">
      <c r="B56" s="0" t="s">
        <v>30</v>
      </c>
      <c r="F56" s="10" t="n">
        <f aca="false">F55-J115</f>
        <v>7679848.55</v>
      </c>
    </row>
    <row r="58" customFormat="false" ht="15" hidden="false" customHeight="false" outlineLevel="0" collapsed="false">
      <c r="B58" s="0" t="s">
        <v>31</v>
      </c>
      <c r="F58" s="10" t="n">
        <f aca="false">E129</f>
        <v>0</v>
      </c>
    </row>
    <row r="63" customFormat="false" ht="15" hidden="false" customHeight="false" outlineLevel="0" collapsed="false">
      <c r="B63" s="11" t="s">
        <v>32</v>
      </c>
      <c r="G63" s="11" t="s">
        <v>33</v>
      </c>
    </row>
    <row r="74" customFormat="false" ht="15" hidden="false" customHeight="false" outlineLevel="0" collapsed="false">
      <c r="B74" s="12" t="s">
        <v>34</v>
      </c>
      <c r="E74" s="13" t="n">
        <f aca="false">SUM(E64:E73)</f>
        <v>0</v>
      </c>
      <c r="G74" s="12" t="s">
        <v>34</v>
      </c>
      <c r="J74" s="13" t="n">
        <f aca="false">SUM(J64:J73)</f>
        <v>0</v>
      </c>
    </row>
    <row r="77" customFormat="false" ht="15" hidden="false" customHeight="false" outlineLevel="0" collapsed="false">
      <c r="B77" s="11" t="s">
        <v>35</v>
      </c>
      <c r="G77" s="11" t="s">
        <v>36</v>
      </c>
    </row>
    <row r="78" customFormat="false" ht="15" hidden="false" customHeight="false" outlineLevel="0" collapsed="false">
      <c r="G78" s="0" t="s">
        <v>104</v>
      </c>
      <c r="J78" s="14" t="n">
        <v>47160.6</v>
      </c>
    </row>
    <row r="79" customFormat="false" ht="15" hidden="false" customHeight="false" outlineLevel="0" collapsed="false">
      <c r="G79" s="0" t="s">
        <v>105</v>
      </c>
      <c r="J79" s="14" t="n">
        <v>47698.16</v>
      </c>
    </row>
    <row r="80" customFormat="false" ht="15" hidden="false" customHeight="false" outlineLevel="0" collapsed="false">
      <c r="G80" s="0" t="s">
        <v>106</v>
      </c>
      <c r="J80" s="14" t="n">
        <v>39811.25</v>
      </c>
    </row>
    <row r="81" customFormat="false" ht="15" hidden="false" customHeight="false" outlineLevel="0" collapsed="false">
      <c r="G81" s="0" t="s">
        <v>107</v>
      </c>
      <c r="J81" s="14" t="n">
        <v>25768.08</v>
      </c>
    </row>
    <row r="88" customFormat="false" ht="15" hidden="false" customHeight="false" outlineLevel="0" collapsed="false">
      <c r="B88" s="12" t="s">
        <v>34</v>
      </c>
      <c r="E88" s="13" t="n">
        <f aca="false">SUM(E78:E87)</f>
        <v>0</v>
      </c>
      <c r="G88" s="12" t="s">
        <v>34</v>
      </c>
      <c r="J88" s="13" t="n">
        <f aca="false">SUM(J78:J87)</f>
        <v>160438.09</v>
      </c>
    </row>
    <row r="91" customFormat="false" ht="15" hidden="false" customHeight="false" outlineLevel="0" collapsed="false">
      <c r="B91" s="11" t="s">
        <v>40</v>
      </c>
      <c r="G91" s="11" t="s">
        <v>41</v>
      </c>
    </row>
    <row r="92" customFormat="false" ht="15" hidden="false" customHeight="false" outlineLevel="0" collapsed="false">
      <c r="B92" s="0" t="s">
        <v>42</v>
      </c>
      <c r="E92" s="14" t="n">
        <v>9800</v>
      </c>
    </row>
    <row r="93" customFormat="false" ht="15" hidden="false" customHeight="false" outlineLevel="0" collapsed="false">
      <c r="B93" s="0" t="s">
        <v>43</v>
      </c>
      <c r="E93" s="14" t="n">
        <v>38500</v>
      </c>
    </row>
    <row r="94" customFormat="false" ht="15" hidden="false" customHeight="false" outlineLevel="0" collapsed="false">
      <c r="B94" s="0" t="s">
        <v>44</v>
      </c>
      <c r="E94" s="14" t="n">
        <v>14200</v>
      </c>
    </row>
    <row r="102" customFormat="false" ht="15" hidden="false" customHeight="false" outlineLevel="0" collapsed="false">
      <c r="B102" s="12" t="s">
        <v>34</v>
      </c>
      <c r="E102" s="13" t="n">
        <f aca="false">SUM(E92:E101)</f>
        <v>62500</v>
      </c>
      <c r="G102" s="12" t="s">
        <v>34</v>
      </c>
      <c r="J102" s="13" t="n">
        <f aca="false">SUM(J92:J101)</f>
        <v>0</v>
      </c>
    </row>
    <row r="105" customFormat="false" ht="15" hidden="false" customHeight="false" outlineLevel="0" collapsed="false">
      <c r="B105" s="11" t="s">
        <v>45</v>
      </c>
      <c r="G105" s="11" t="s">
        <v>46</v>
      </c>
    </row>
    <row r="106" customFormat="false" ht="15" hidden="false" customHeight="false" outlineLevel="0" collapsed="false">
      <c r="B106" s="0" t="s">
        <v>125</v>
      </c>
      <c r="E106" s="14" t="n">
        <v>53813.31</v>
      </c>
    </row>
    <row r="107" customFormat="false" ht="15" hidden="false" customHeight="false" outlineLevel="0" collapsed="false">
      <c r="B107" s="0" t="s">
        <v>126</v>
      </c>
      <c r="E107" s="14" t="n">
        <v>32553.48</v>
      </c>
    </row>
    <row r="108" customFormat="false" ht="15" hidden="false" customHeight="false" outlineLevel="0" collapsed="false">
      <c r="B108" s="0" t="s">
        <v>127</v>
      </c>
      <c r="E108" s="14" t="n">
        <v>34553.2</v>
      </c>
    </row>
    <row r="109" customFormat="false" ht="15" hidden="false" customHeight="false" outlineLevel="0" collapsed="false">
      <c r="B109" s="0" t="s">
        <v>128</v>
      </c>
      <c r="E109" s="14" t="n">
        <v>28165.55</v>
      </c>
    </row>
    <row r="115" customFormat="false" ht="15" hidden="false" customHeight="false" outlineLevel="0" collapsed="false">
      <c r="B115" s="12" t="s">
        <v>34</v>
      </c>
      <c r="E115" s="13" t="n">
        <f aca="false">SUM(E106:E114)</f>
        <v>149085.54</v>
      </c>
      <c r="G115" s="12" t="s">
        <v>34</v>
      </c>
      <c r="J115" s="13" t="n">
        <f aca="false">SUM(J106:J114)</f>
        <v>0</v>
      </c>
    </row>
    <row r="118" customFormat="false" ht="15" hidden="false" customHeight="false" outlineLevel="0" collapsed="false">
      <c r="B118" s="11" t="s">
        <v>50</v>
      </c>
    </row>
    <row r="129" customFormat="false" ht="15" hidden="false" customHeight="false" outlineLevel="0" collapsed="false">
      <c r="B129" s="12" t="s">
        <v>34</v>
      </c>
      <c r="E129" s="13" t="n">
        <f aca="false">SUM(E119:E128)</f>
        <v>0</v>
      </c>
    </row>
    <row r="132" customFormat="false" ht="17.35" hidden="false" customHeight="false" outlineLevel="0" collapsed="false">
      <c r="B132" s="1" t="s">
        <v>51</v>
      </c>
    </row>
    <row r="135" customFormat="false" ht="15" hidden="false" customHeight="false" outlineLevel="0" collapsed="false">
      <c r="G135" s="12" t="s">
        <v>52</v>
      </c>
    </row>
    <row r="136" customFormat="false" ht="15" hidden="false" customHeight="false" outlineLevel="0" collapsed="false">
      <c r="C136" s="0" t="s">
        <v>53</v>
      </c>
      <c r="D136" s="4" t="str">
        <f aca="false">D24</f>
        <v>POTENGI</v>
      </c>
      <c r="G136" s="15" t="s">
        <v>54</v>
      </c>
      <c r="J136" s="8" t="n">
        <v>774348.67</v>
      </c>
    </row>
    <row r="137" customFormat="false" ht="15" hidden="false" customHeight="false" outlineLevel="0" collapsed="false">
      <c r="C137" s="0" t="s">
        <v>55</v>
      </c>
      <c r="D137" s="10" t="n">
        <f aca="false">J28</f>
        <v>19171240</v>
      </c>
      <c r="G137" s="15" t="s">
        <v>56</v>
      </c>
      <c r="J137" s="8" t="n">
        <v>684691.74</v>
      </c>
    </row>
    <row r="138" customFormat="false" ht="15" hidden="false" customHeight="false" outlineLevel="0" collapsed="false">
      <c r="C138" s="0" t="s">
        <v>15</v>
      </c>
      <c r="D138" s="4" t="str">
        <f aca="false">J29</f>
        <v>Orçamento executivo</v>
      </c>
      <c r="G138" s="15" t="s">
        <v>57</v>
      </c>
      <c r="J138" s="10" t="n">
        <f aca="false">J137-J136</f>
        <v>-89656.9300000001</v>
      </c>
    </row>
    <row r="139" customFormat="false" ht="15" hidden="false" customHeight="false" outlineLevel="0" collapsed="false">
      <c r="C139" s="0" t="s">
        <v>58</v>
      </c>
      <c r="D139" s="16" t="n">
        <f aca="false">E26</f>
        <v>46082</v>
      </c>
      <c r="G139" s="15" t="s">
        <v>59</v>
      </c>
    </row>
    <row r="140" customFormat="false" ht="28.35" hidden="false" customHeight="false" outlineLevel="0" collapsed="false">
      <c r="C140" s="0" t="s">
        <v>60</v>
      </c>
      <c r="D140" s="17" t="n">
        <f aca="false">F31</f>
        <v>0.0514</v>
      </c>
      <c r="G140" s="20" t="s">
        <v>129</v>
      </c>
    </row>
    <row r="141" customFormat="false" ht="15" hidden="false" customHeight="false" outlineLevel="0" collapsed="false">
      <c r="C141" s="0" t="s">
        <v>61</v>
      </c>
      <c r="D141" s="17" t="n">
        <f aca="false">F33</f>
        <v>0.0342</v>
      </c>
    </row>
    <row r="142" customFormat="false" ht="15" hidden="false" customHeight="false" outlineLevel="0" collapsed="false">
      <c r="C142" s="0" t="s">
        <v>62</v>
      </c>
      <c r="D142" s="17" t="n">
        <f aca="false">F35</f>
        <v>0.4741</v>
      </c>
    </row>
    <row r="143" customFormat="false" ht="15" hidden="false" customHeight="false" outlineLevel="0" collapsed="false">
      <c r="C143" s="0" t="s">
        <v>63</v>
      </c>
      <c r="D143" s="17" t="n">
        <f aca="false">F37</f>
        <v>0.3954</v>
      </c>
    </row>
    <row r="145" customFormat="false" ht="15" hidden="false" customHeight="false" outlineLevel="0" collapsed="false">
      <c r="B145" s="0" t="s">
        <v>64</v>
      </c>
      <c r="C145" s="0" t="s">
        <v>65</v>
      </c>
      <c r="D145" s="10" t="n">
        <f aca="false">F39</f>
        <v>7580308.296</v>
      </c>
      <c r="E145" s="18" t="n">
        <f aca="false">D145/$D$137</f>
        <v>0.3954</v>
      </c>
    </row>
    <row r="146" customFormat="false" ht="15" hidden="false" customHeight="false" outlineLevel="0" collapsed="false">
      <c r="B146" s="0" t="s">
        <v>66</v>
      </c>
      <c r="C146" s="0" t="s">
        <v>32</v>
      </c>
      <c r="D146" s="10" t="n">
        <f aca="false">F41</f>
        <v>0</v>
      </c>
      <c r="E146" s="18" t="n">
        <f aca="false">D146/$D$137</f>
        <v>0</v>
      </c>
    </row>
    <row r="147" customFormat="false" ht="15" hidden="false" customHeight="false" outlineLevel="0" collapsed="false">
      <c r="B147" s="0" t="s">
        <v>67</v>
      </c>
      <c r="C147" s="0" t="s">
        <v>35</v>
      </c>
      <c r="D147" s="10" t="n">
        <f aca="false">F43</f>
        <v>0</v>
      </c>
      <c r="E147" s="18" t="n">
        <f aca="false">D147/$D$137</f>
        <v>0</v>
      </c>
    </row>
    <row r="148" customFormat="false" ht="15" hidden="false" customHeight="false" outlineLevel="0" collapsed="false">
      <c r="B148" s="0" t="s">
        <v>68</v>
      </c>
      <c r="C148" s="0" t="s">
        <v>33</v>
      </c>
      <c r="D148" s="10" t="n">
        <f aca="false">F45</f>
        <v>0</v>
      </c>
      <c r="E148" s="18" t="n">
        <f aca="false">D148/$D$137</f>
        <v>0</v>
      </c>
    </row>
    <row r="149" customFormat="false" ht="15" hidden="false" customHeight="false" outlineLevel="0" collapsed="false">
      <c r="B149" s="0" t="s">
        <v>69</v>
      </c>
      <c r="C149" s="0" t="s">
        <v>36</v>
      </c>
      <c r="D149" s="10" t="n">
        <f aca="false">F47</f>
        <v>160438.09</v>
      </c>
      <c r="E149" s="18" t="n">
        <f aca="false">D149/$D$137</f>
        <v>0.00836868611524346</v>
      </c>
    </row>
    <row r="150" customFormat="false" ht="15" hidden="false" customHeight="false" outlineLevel="0" collapsed="false">
      <c r="B150" s="0" t="s">
        <v>70</v>
      </c>
      <c r="C150" s="0" t="s">
        <v>71</v>
      </c>
      <c r="D150" s="10" t="n">
        <f aca="false">F49</f>
        <v>62500</v>
      </c>
      <c r="E150" s="18" t="n">
        <f aca="false">D150/$D$137</f>
        <v>0.00326009167899416</v>
      </c>
    </row>
    <row r="151" customFormat="false" ht="15" hidden="false" customHeight="false" outlineLevel="0" collapsed="false">
      <c r="B151" s="0" t="s">
        <v>72</v>
      </c>
      <c r="C151" s="0" t="s">
        <v>73</v>
      </c>
      <c r="D151" s="10" t="n">
        <f aca="false">F51</f>
        <v>0</v>
      </c>
      <c r="E151" s="18" t="n">
        <f aca="false">D151/$D$137</f>
        <v>0</v>
      </c>
    </row>
    <row r="152" customFormat="false" ht="15" hidden="false" customHeight="false" outlineLevel="0" collapsed="false">
      <c r="B152" s="0" t="s">
        <v>74</v>
      </c>
      <c r="C152" s="0" t="s">
        <v>45</v>
      </c>
      <c r="D152" s="10" t="n">
        <f aca="false">F53</f>
        <v>149085.54</v>
      </c>
      <c r="E152" s="18" t="n">
        <f aca="false">D152/$D$137</f>
        <v>0.00777652045459762</v>
      </c>
    </row>
    <row r="153" customFormat="false" ht="15" hidden="false" customHeight="false" outlineLevel="0" collapsed="false">
      <c r="B153" s="0" t="s">
        <v>75</v>
      </c>
      <c r="C153" s="0" t="s">
        <v>76</v>
      </c>
      <c r="D153" s="10" t="n">
        <f aca="false">F56</f>
        <v>7679848.55</v>
      </c>
      <c r="E153" s="18" t="n">
        <f aca="false">D153/$D$137</f>
        <v>0.400592165660646</v>
      </c>
    </row>
    <row r="154" customFormat="false" ht="15" hidden="false" customHeight="false" outlineLevel="0" collapsed="false">
      <c r="B154" s="0" t="s">
        <v>77</v>
      </c>
      <c r="C154" s="0" t="s">
        <v>50</v>
      </c>
      <c r="D154" s="10" t="n">
        <f aca="false">F58</f>
        <v>0</v>
      </c>
      <c r="E154" s="18" t="n">
        <f aca="false">D154/$D$137</f>
        <v>0</v>
      </c>
    </row>
    <row r="155" customFormat="false" ht="15" hidden="false" customHeight="false" outlineLevel="0" collapsed="false">
      <c r="C155" s="12" t="s">
        <v>78</v>
      </c>
      <c r="D155" s="13" t="n">
        <f aca="false">D145+D146+D147+D148+D149+D150+D151-D152-D153-D154</f>
        <v>-25687.7040000008</v>
      </c>
      <c r="E155" s="19" t="n">
        <f aca="false">D155/D137</f>
        <v>-0.00133990832100588</v>
      </c>
    </row>
    <row r="156" customFormat="false" ht="15" hidden="false" customHeight="false" outlineLevel="0" collapsed="false">
      <c r="C156" s="0" t="s">
        <v>79</v>
      </c>
      <c r="D156" s="10" t="n">
        <f aca="false">FEV26!D155</f>
        <v>-13615.3499999996</v>
      </c>
      <c r="E156" s="17" t="n">
        <f aca="false">FEV26!E155</f>
        <v>-0.000713118102730343</v>
      </c>
    </row>
    <row r="160" customFormat="false" ht="15" hidden="false" customHeight="false" outlineLevel="0" collapsed="false">
      <c r="B160" s="12" t="s">
        <v>80</v>
      </c>
    </row>
    <row r="162" customFormat="false" ht="15" hidden="false" customHeight="false" outlineLevel="0" collapsed="false">
      <c r="B162" s="12" t="s">
        <v>81</v>
      </c>
    </row>
    <row r="163" customFormat="false" ht="15" hidden="false" customHeight="false" outlineLevel="0" collapsed="false">
      <c r="B163" s="0" t="s">
        <v>82</v>
      </c>
    </row>
    <row r="164" customFormat="false" ht="15" hidden="false" customHeight="false" outlineLevel="0" collapsed="false">
      <c r="B164" s="12" t="s">
        <v>83</v>
      </c>
    </row>
    <row r="165" customFormat="false" ht="15" hidden="false" customHeight="false" outlineLevel="0" collapsed="false">
      <c r="B165" s="0" t="s">
        <v>84</v>
      </c>
    </row>
    <row r="166" customFormat="false" ht="15" hidden="false" customHeight="false" outlineLevel="0" collapsed="false">
      <c r="B166" s="12" t="s">
        <v>85</v>
      </c>
    </row>
    <row r="167" customFormat="false" ht="15" hidden="false" customHeight="false" outlineLevel="0" collapsed="false">
      <c r="B167" s="0" t="s">
        <v>86</v>
      </c>
    </row>
    <row r="168" customFormat="false" ht="15" hidden="false" customHeight="false" outlineLevel="0" collapsed="false">
      <c r="B168" s="12" t="s">
        <v>87</v>
      </c>
    </row>
    <row r="169" customFormat="false" ht="15" hidden="false" customHeight="false" outlineLevel="0" collapsed="false">
      <c r="B169" s="0" t="s">
        <v>88</v>
      </c>
    </row>
    <row r="170" customFormat="false" ht="15" hidden="false" customHeight="false" outlineLevel="0" collapsed="false">
      <c r="B170" s="12" t="s">
        <v>89</v>
      </c>
    </row>
    <row r="171" customFormat="false" ht="15" hidden="false" customHeight="false" outlineLevel="0" collapsed="false">
      <c r="B171" s="0" t="s">
        <v>90</v>
      </c>
    </row>
    <row r="172" customFormat="false" ht="15" hidden="false" customHeight="false" outlineLevel="0" collapsed="false">
      <c r="B172" s="12" t="s">
        <v>91</v>
      </c>
    </row>
    <row r="173" customFormat="false" ht="15" hidden="false" customHeight="false" outlineLevel="0" collapsed="false">
      <c r="B173" s="0" t="s">
        <v>92</v>
      </c>
    </row>
    <row r="174" customFormat="false" ht="15" hidden="false" customHeight="false" outlineLevel="0" collapsed="false">
      <c r="B174" s="12" t="s">
        <v>93</v>
      </c>
    </row>
    <row r="175" customFormat="false" ht="15" hidden="false" customHeight="false" outlineLevel="0" collapsed="false">
      <c r="B175" s="0" t="s">
        <v>94</v>
      </c>
    </row>
    <row r="176" customFormat="false" ht="15" hidden="false" customHeight="false" outlineLevel="0" collapsed="false">
      <c r="B176" s="12" t="s">
        <v>95</v>
      </c>
    </row>
    <row r="177" customFormat="false" ht="15" hidden="false" customHeight="false" outlineLevel="0" collapsed="false">
      <c r="B177" s="0" t="s">
        <v>96</v>
      </c>
    </row>
    <row r="178" customFormat="false" ht="15" hidden="false" customHeight="false" outlineLevel="0" collapsed="false">
      <c r="B178" s="12" t="s">
        <v>97</v>
      </c>
    </row>
    <row r="179" customFormat="false" ht="15" hidden="false" customHeight="false" outlineLevel="0" collapsed="false">
      <c r="B179" s="0" t="s">
        <v>98</v>
      </c>
    </row>
    <row r="180" customFormat="false" ht="15" hidden="false" customHeight="false" outlineLevel="0" collapsed="false">
      <c r="B180" s="12" t="s">
        <v>99</v>
      </c>
    </row>
    <row r="181" customFormat="false" ht="15" hidden="false" customHeight="false" outlineLevel="0" collapsed="false">
      <c r="B181" s="0" t="s">
        <v>100</v>
      </c>
    </row>
  </sheetData>
  <printOptions headings="false" gridLines="false" gridLinesSet="true" horizontalCentered="false" verticalCentered="false"/>
  <pageMargins left="0.75" right="0.75" top="1" bottom="1" header="0.511811023622047" footer="0.511811023622047"/>
  <pageSetup paperSize="9" scale="100" fitToWidth="1" fitToHeight="1" pageOrder="downThenOver" orientation="portrait" blackAndWhite="false" draft="false" cellComments="none" horizontalDpi="300" verticalDpi="300" copies="1"/>
  <headerFooter differentFirst="false" differentOddEven="false">
    <oddHeader/>
    <oddFooter/>
  </headerFooter>
</worksheet>
</file>

<file path=xl/worksheets/sheet9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r2="http://schemas.microsoft.com/office/spreadsheetml/2015/revision2" xmlns:mc="http://schemas.openxmlformats.org/markup-compatibility/2006">
  <sheetPr filterMode="false">
    <pageSetUpPr fitToPage="false"/>
  </sheetPr>
  <dimension ref="B2:J181"/>
  <sheetViews>
    <sheetView showFormulas="false" showGridLines="true" showRowColHeaders="true" showZeros="true" rightToLeft="false" tabSelected="false" showOutlineSymbols="true" defaultGridColor="true" view="normal" topLeftCell="A1" colorId="64" zoomScale="100" zoomScaleNormal="100" zoomScalePageLayoutView="100" workbookViewId="0">
      <selection pane="topLeft" activeCell="A1" activeCellId="0" sqref="A1"/>
    </sheetView>
  </sheetViews>
  <sheetFormatPr defaultColWidth="8.6796875" defaultRowHeight="15" zeroHeight="false" outlineLevelRow="0" outlineLevelCol="0"/>
  <cols>
    <col collapsed="false" customWidth="true" hidden="false" outlineLevel="0" max="1" min="1" style="0" width="3"/>
    <col collapsed="false" customWidth="true" hidden="false" outlineLevel="0" max="2" min="2" style="0" width="46"/>
    <col collapsed="false" customWidth="true" hidden="false" outlineLevel="0" max="3" min="3" style="0" width="30"/>
    <col collapsed="false" customWidth="true" hidden="false" outlineLevel="0" max="6" min="4" style="0" width="18"/>
    <col collapsed="false" customWidth="true" hidden="false" outlineLevel="0" max="7" min="7" style="0" width="44"/>
    <col collapsed="false" customWidth="true" hidden="false" outlineLevel="0" max="9" min="8" style="0" width="12"/>
    <col collapsed="false" customWidth="true" hidden="false" outlineLevel="0" max="10" min="10" style="0" width="18"/>
  </cols>
  <sheetData>
    <row r="2" customFormat="false" ht="17.35" hidden="false" customHeight="false" outlineLevel="0" collapsed="false">
      <c r="B2" s="1" t="s">
        <v>4</v>
      </c>
    </row>
    <row r="3" customFormat="false" ht="15" hidden="false" customHeight="false" outlineLevel="0" collapsed="false">
      <c r="B3" s="0" t="s">
        <v>5</v>
      </c>
    </row>
    <row r="4" customFormat="false" ht="15" hidden="false" customHeight="false" outlineLevel="0" collapsed="false">
      <c r="B4" s="0" t="s">
        <v>6</v>
      </c>
    </row>
    <row r="18" customFormat="false" ht="15" hidden="false" customHeight="false" outlineLevel="0" collapsed="false">
      <c r="B18" s="3" t="s">
        <v>7</v>
      </c>
    </row>
    <row r="19" customFormat="false" ht="15" hidden="false" customHeight="false" outlineLevel="0" collapsed="false">
      <c r="B19" s="4" t="s">
        <v>8</v>
      </c>
    </row>
    <row r="20" customFormat="false" ht="15" hidden="false" customHeight="false" outlineLevel="0" collapsed="false">
      <c r="B20" s="5" t="s">
        <v>9</v>
      </c>
    </row>
    <row r="21" customFormat="false" ht="15" hidden="false" customHeight="false" outlineLevel="0" collapsed="false">
      <c r="B21" s="6" t="s">
        <v>10</v>
      </c>
    </row>
    <row r="24" customFormat="false" ht="15" hidden="false" customHeight="false" outlineLevel="0" collapsed="false">
      <c r="B24" s="0" t="s">
        <v>11</v>
      </c>
      <c r="D24" s="3" t="s">
        <v>12</v>
      </c>
    </row>
    <row r="26" customFormat="false" ht="15" hidden="false" customHeight="false" outlineLevel="0" collapsed="false">
      <c r="B26" s="0" t="s">
        <v>13</v>
      </c>
      <c r="E26" s="7" t="n">
        <v>46113</v>
      </c>
    </row>
    <row r="28" customFormat="false" ht="15" hidden="false" customHeight="false" outlineLevel="0" collapsed="false">
      <c r="B28" s="0" t="s">
        <v>14</v>
      </c>
      <c r="J28" s="8" t="n">
        <v>19249780</v>
      </c>
    </row>
    <row r="29" customFormat="false" ht="15" hidden="false" customHeight="false" outlineLevel="0" collapsed="false">
      <c r="B29" s="0" t="s">
        <v>15</v>
      </c>
      <c r="J29" s="3" t="s">
        <v>16</v>
      </c>
    </row>
    <row r="31" customFormat="false" ht="15" hidden="false" customHeight="false" outlineLevel="0" collapsed="false">
      <c r="B31" s="0" t="s">
        <v>17</v>
      </c>
      <c r="F31" s="9" t="n">
        <v>0.0518</v>
      </c>
    </row>
    <row r="33" customFormat="false" ht="15" hidden="false" customHeight="false" outlineLevel="0" collapsed="false">
      <c r="B33" s="0" t="s">
        <v>18</v>
      </c>
      <c r="F33" s="9" t="n">
        <v>0.0236</v>
      </c>
    </row>
    <row r="35" customFormat="false" ht="15" hidden="false" customHeight="false" outlineLevel="0" collapsed="false">
      <c r="B35" s="0" t="s">
        <v>19</v>
      </c>
      <c r="F35" s="9" t="n">
        <v>0.5259</v>
      </c>
    </row>
    <row r="37" customFormat="false" ht="15" hidden="false" customHeight="false" outlineLevel="0" collapsed="false">
      <c r="B37" s="0" t="s">
        <v>20</v>
      </c>
      <c r="F37" s="9" t="n">
        <v>0.419</v>
      </c>
    </row>
    <row r="39" customFormat="false" ht="15" hidden="false" customHeight="false" outlineLevel="0" collapsed="false">
      <c r="B39" s="0" t="s">
        <v>21</v>
      </c>
      <c r="F39" s="10" t="n">
        <f aca="false">F37*J28</f>
        <v>8065657.82</v>
      </c>
    </row>
    <row r="41" customFormat="false" ht="15" hidden="false" customHeight="false" outlineLevel="0" collapsed="false">
      <c r="B41" s="0" t="s">
        <v>22</v>
      </c>
      <c r="F41" s="10" t="n">
        <f aca="false">E74</f>
        <v>0</v>
      </c>
    </row>
    <row r="43" customFormat="false" ht="15" hidden="false" customHeight="false" outlineLevel="0" collapsed="false">
      <c r="B43" s="0" t="s">
        <v>23</v>
      </c>
      <c r="F43" s="10" t="n">
        <f aca="false">E88</f>
        <v>0</v>
      </c>
    </row>
    <row r="45" customFormat="false" ht="15" hidden="false" customHeight="false" outlineLevel="0" collapsed="false">
      <c r="B45" s="0" t="s">
        <v>24</v>
      </c>
      <c r="F45" s="10" t="n">
        <f aca="false">J74</f>
        <v>0</v>
      </c>
    </row>
    <row r="47" customFormat="false" ht="15" hidden="false" customHeight="false" outlineLevel="0" collapsed="false">
      <c r="B47" s="0" t="s">
        <v>25</v>
      </c>
      <c r="F47" s="10" t="n">
        <f aca="false">J88</f>
        <v>169016.56</v>
      </c>
    </row>
    <row r="49" customFormat="false" ht="15" hidden="false" customHeight="false" outlineLevel="0" collapsed="false">
      <c r="B49" s="0" t="s">
        <v>26</v>
      </c>
      <c r="F49" s="10" t="n">
        <f aca="false">E102</f>
        <v>62500</v>
      </c>
    </row>
    <row r="51" customFormat="false" ht="15" hidden="false" customHeight="false" outlineLevel="0" collapsed="false">
      <c r="B51" s="0" t="s">
        <v>27</v>
      </c>
      <c r="F51" s="10" t="n">
        <f aca="false">J102</f>
        <v>0</v>
      </c>
    </row>
    <row r="53" customFormat="false" ht="15" hidden="false" customHeight="false" outlineLevel="0" collapsed="false">
      <c r="B53" s="0" t="s">
        <v>28</v>
      </c>
      <c r="F53" s="10" t="n">
        <f aca="false">E115</f>
        <v>85389.59</v>
      </c>
    </row>
    <row r="55" customFormat="false" ht="15" hidden="false" customHeight="false" outlineLevel="0" collapsed="false">
      <c r="B55" s="0" t="s">
        <v>29</v>
      </c>
      <c r="F55" s="8" t="n">
        <v>8247936.87</v>
      </c>
    </row>
    <row r="56" customFormat="false" ht="15" hidden="false" customHeight="false" outlineLevel="0" collapsed="false">
      <c r="B56" s="0" t="s">
        <v>30</v>
      </c>
      <c r="F56" s="10" t="n">
        <f aca="false">F55-J115</f>
        <v>8247936.87</v>
      </c>
    </row>
    <row r="58" customFormat="false" ht="15" hidden="false" customHeight="false" outlineLevel="0" collapsed="false">
      <c r="B58" s="0" t="s">
        <v>31</v>
      </c>
      <c r="F58" s="10" t="n">
        <f aca="false">E129</f>
        <v>0</v>
      </c>
    </row>
    <row r="63" customFormat="false" ht="15" hidden="false" customHeight="false" outlineLevel="0" collapsed="false">
      <c r="B63" s="11" t="s">
        <v>32</v>
      </c>
      <c r="G63" s="11" t="s">
        <v>33</v>
      </c>
    </row>
    <row r="74" customFormat="false" ht="15" hidden="false" customHeight="false" outlineLevel="0" collapsed="false">
      <c r="B74" s="12" t="s">
        <v>34</v>
      </c>
      <c r="E74" s="13" t="n">
        <f aca="false">SUM(E64:E73)</f>
        <v>0</v>
      </c>
      <c r="G74" s="12" t="s">
        <v>34</v>
      </c>
      <c r="J74" s="13" t="n">
        <f aca="false">SUM(J64:J73)</f>
        <v>0</v>
      </c>
    </row>
    <row r="77" customFormat="false" ht="15" hidden="false" customHeight="false" outlineLevel="0" collapsed="false">
      <c r="B77" s="11" t="s">
        <v>35</v>
      </c>
      <c r="G77" s="11" t="s">
        <v>36</v>
      </c>
    </row>
    <row r="78" customFormat="false" ht="15" hidden="false" customHeight="false" outlineLevel="0" collapsed="false">
      <c r="G78" s="0" t="s">
        <v>104</v>
      </c>
      <c r="J78" s="14" t="n">
        <v>38279.14</v>
      </c>
    </row>
    <row r="79" customFormat="false" ht="15" hidden="false" customHeight="false" outlineLevel="0" collapsed="false">
      <c r="G79" s="0" t="s">
        <v>105</v>
      </c>
      <c r="J79" s="14" t="n">
        <v>46532.07</v>
      </c>
    </row>
    <row r="80" customFormat="false" ht="15" hidden="false" customHeight="false" outlineLevel="0" collapsed="false">
      <c r="G80" s="0" t="s">
        <v>106</v>
      </c>
      <c r="J80" s="14" t="n">
        <v>51597.72</v>
      </c>
    </row>
    <row r="81" customFormat="false" ht="15" hidden="false" customHeight="false" outlineLevel="0" collapsed="false">
      <c r="G81" s="0" t="s">
        <v>107</v>
      </c>
      <c r="J81" s="14" t="n">
        <v>32607.63</v>
      </c>
    </row>
    <row r="88" customFormat="false" ht="15" hidden="false" customHeight="false" outlineLevel="0" collapsed="false">
      <c r="B88" s="12" t="s">
        <v>34</v>
      </c>
      <c r="E88" s="13" t="n">
        <f aca="false">SUM(E78:E87)</f>
        <v>0</v>
      </c>
      <c r="G88" s="12" t="s">
        <v>34</v>
      </c>
      <c r="J88" s="13" t="n">
        <f aca="false">SUM(J78:J87)</f>
        <v>169016.56</v>
      </c>
    </row>
    <row r="91" customFormat="false" ht="15" hidden="false" customHeight="false" outlineLevel="0" collapsed="false">
      <c r="B91" s="11" t="s">
        <v>40</v>
      </c>
      <c r="G91" s="11" t="s">
        <v>41</v>
      </c>
    </row>
    <row r="92" customFormat="false" ht="15" hidden="false" customHeight="false" outlineLevel="0" collapsed="false">
      <c r="B92" s="0" t="s">
        <v>42</v>
      </c>
      <c r="E92" s="14" t="n">
        <v>9800</v>
      </c>
    </row>
    <row r="93" customFormat="false" ht="15" hidden="false" customHeight="false" outlineLevel="0" collapsed="false">
      <c r="B93" s="0" t="s">
        <v>43</v>
      </c>
      <c r="E93" s="14" t="n">
        <v>38500</v>
      </c>
    </row>
    <row r="94" customFormat="false" ht="15" hidden="false" customHeight="false" outlineLevel="0" collapsed="false">
      <c r="B94" s="0" t="s">
        <v>44</v>
      </c>
      <c r="E94" s="14" t="n">
        <v>14200</v>
      </c>
    </row>
    <row r="102" customFormat="false" ht="15" hidden="false" customHeight="false" outlineLevel="0" collapsed="false">
      <c r="B102" s="12" t="s">
        <v>34</v>
      </c>
      <c r="E102" s="13" t="n">
        <f aca="false">SUM(E92:E101)</f>
        <v>62500</v>
      </c>
      <c r="G102" s="12" t="s">
        <v>34</v>
      </c>
      <c r="J102" s="13" t="n">
        <f aca="false">SUM(J92:J101)</f>
        <v>0</v>
      </c>
    </row>
    <row r="105" customFormat="false" ht="15" hidden="false" customHeight="false" outlineLevel="0" collapsed="false">
      <c r="B105" s="11" t="s">
        <v>45</v>
      </c>
      <c r="G105" s="11" t="s">
        <v>46</v>
      </c>
    </row>
    <row r="106" customFormat="false" ht="15" hidden="false" customHeight="false" outlineLevel="0" collapsed="false">
      <c r="B106" s="0" t="s">
        <v>130</v>
      </c>
      <c r="E106" s="14" t="n">
        <v>16616.18</v>
      </c>
    </row>
    <row r="107" customFormat="false" ht="15" hidden="false" customHeight="false" outlineLevel="0" collapsed="false">
      <c r="B107" s="0" t="s">
        <v>131</v>
      </c>
      <c r="E107" s="14" t="n">
        <v>15096.27</v>
      </c>
    </row>
    <row r="108" customFormat="false" ht="15" hidden="false" customHeight="false" outlineLevel="0" collapsed="false">
      <c r="B108" s="0" t="s">
        <v>132</v>
      </c>
      <c r="E108" s="14" t="n">
        <v>23591.73</v>
      </c>
    </row>
    <row r="109" customFormat="false" ht="15" hidden="false" customHeight="false" outlineLevel="0" collapsed="false">
      <c r="B109" s="0" t="s">
        <v>133</v>
      </c>
      <c r="E109" s="14" t="n">
        <v>30085.41</v>
      </c>
    </row>
    <row r="115" customFormat="false" ht="15" hidden="false" customHeight="false" outlineLevel="0" collapsed="false">
      <c r="B115" s="12" t="s">
        <v>34</v>
      </c>
      <c r="E115" s="13" t="n">
        <f aca="false">SUM(E106:E114)</f>
        <v>85389.59</v>
      </c>
      <c r="G115" s="12" t="s">
        <v>34</v>
      </c>
      <c r="J115" s="13" t="n">
        <f aca="false">SUM(J106:J114)</f>
        <v>0</v>
      </c>
    </row>
    <row r="118" customFormat="false" ht="15" hidden="false" customHeight="false" outlineLevel="0" collapsed="false">
      <c r="B118" s="11" t="s">
        <v>50</v>
      </c>
    </row>
    <row r="129" customFormat="false" ht="15" hidden="false" customHeight="false" outlineLevel="0" collapsed="false">
      <c r="B129" s="12" t="s">
        <v>34</v>
      </c>
      <c r="E129" s="13" t="n">
        <f aca="false">SUM(E119:E128)</f>
        <v>0</v>
      </c>
    </row>
    <row r="132" customFormat="false" ht="17.35" hidden="false" customHeight="false" outlineLevel="0" collapsed="false">
      <c r="B132" s="1" t="s">
        <v>51</v>
      </c>
    </row>
    <row r="135" customFormat="false" ht="15" hidden="false" customHeight="false" outlineLevel="0" collapsed="false">
      <c r="G135" s="12" t="s">
        <v>52</v>
      </c>
    </row>
    <row r="136" customFormat="false" ht="15" hidden="false" customHeight="false" outlineLevel="0" collapsed="false">
      <c r="C136" s="0" t="s">
        <v>53</v>
      </c>
      <c r="D136" s="4" t="str">
        <f aca="false">D24</f>
        <v>POTENGI</v>
      </c>
      <c r="G136" s="15" t="s">
        <v>54</v>
      </c>
      <c r="J136" s="8" t="n">
        <v>680548.79</v>
      </c>
    </row>
    <row r="137" customFormat="false" ht="15" hidden="false" customHeight="false" outlineLevel="0" collapsed="false">
      <c r="C137" s="0" t="s">
        <v>55</v>
      </c>
      <c r="D137" s="10" t="n">
        <f aca="false">J28</f>
        <v>19249780</v>
      </c>
      <c r="G137" s="15" t="s">
        <v>56</v>
      </c>
      <c r="J137" s="8" t="n">
        <v>568088.32</v>
      </c>
    </row>
    <row r="138" customFormat="false" ht="15" hidden="false" customHeight="false" outlineLevel="0" collapsed="false">
      <c r="C138" s="0" t="s">
        <v>15</v>
      </c>
      <c r="D138" s="4" t="str">
        <f aca="false">J29</f>
        <v>Orçamento executivo</v>
      </c>
      <c r="G138" s="15" t="s">
        <v>57</v>
      </c>
      <c r="J138" s="10" t="n">
        <f aca="false">J137-J136</f>
        <v>-112460.47</v>
      </c>
    </row>
    <row r="139" customFormat="false" ht="15" hidden="false" customHeight="false" outlineLevel="0" collapsed="false">
      <c r="C139" s="0" t="s">
        <v>58</v>
      </c>
      <c r="D139" s="16" t="n">
        <f aca="false">E26</f>
        <v>46113</v>
      </c>
      <c r="G139" s="15" t="s">
        <v>59</v>
      </c>
    </row>
    <row r="140" customFormat="false" ht="28.35" hidden="false" customHeight="false" outlineLevel="0" collapsed="false">
      <c r="C140" s="0" t="s">
        <v>60</v>
      </c>
      <c r="D140" s="17" t="n">
        <f aca="false">F31</f>
        <v>0.0518</v>
      </c>
      <c r="G140" s="20" t="s">
        <v>129</v>
      </c>
    </row>
    <row r="141" customFormat="false" ht="15" hidden="false" customHeight="false" outlineLevel="0" collapsed="false">
      <c r="C141" s="0" t="s">
        <v>61</v>
      </c>
      <c r="D141" s="17" t="n">
        <f aca="false">F33</f>
        <v>0.0236</v>
      </c>
    </row>
    <row r="142" customFormat="false" ht="15" hidden="false" customHeight="false" outlineLevel="0" collapsed="false">
      <c r="C142" s="0" t="s">
        <v>62</v>
      </c>
      <c r="D142" s="17" t="n">
        <f aca="false">F35</f>
        <v>0.5259</v>
      </c>
    </row>
    <row r="143" customFormat="false" ht="15" hidden="false" customHeight="false" outlineLevel="0" collapsed="false">
      <c r="C143" s="0" t="s">
        <v>63</v>
      </c>
      <c r="D143" s="17" t="n">
        <f aca="false">F37</f>
        <v>0.419</v>
      </c>
    </row>
    <row r="145" customFormat="false" ht="15" hidden="false" customHeight="false" outlineLevel="0" collapsed="false">
      <c r="B145" s="0" t="s">
        <v>64</v>
      </c>
      <c r="C145" s="0" t="s">
        <v>65</v>
      </c>
      <c r="D145" s="10" t="n">
        <f aca="false">F39</f>
        <v>8065657.82</v>
      </c>
      <c r="E145" s="18" t="n">
        <f aca="false">D145/$D$137</f>
        <v>0.419</v>
      </c>
    </row>
    <row r="146" customFormat="false" ht="15" hidden="false" customHeight="false" outlineLevel="0" collapsed="false">
      <c r="B146" s="0" t="s">
        <v>66</v>
      </c>
      <c r="C146" s="0" t="s">
        <v>32</v>
      </c>
      <c r="D146" s="10" t="n">
        <f aca="false">F41</f>
        <v>0</v>
      </c>
      <c r="E146" s="18" t="n">
        <f aca="false">D146/$D$137</f>
        <v>0</v>
      </c>
    </row>
    <row r="147" customFormat="false" ht="15" hidden="false" customHeight="false" outlineLevel="0" collapsed="false">
      <c r="B147" s="0" t="s">
        <v>67</v>
      </c>
      <c r="C147" s="0" t="s">
        <v>35</v>
      </c>
      <c r="D147" s="10" t="n">
        <f aca="false">F43</f>
        <v>0</v>
      </c>
      <c r="E147" s="18" t="n">
        <f aca="false">D147/$D$137</f>
        <v>0</v>
      </c>
    </row>
    <row r="148" customFormat="false" ht="15" hidden="false" customHeight="false" outlineLevel="0" collapsed="false">
      <c r="B148" s="0" t="s">
        <v>68</v>
      </c>
      <c r="C148" s="0" t="s">
        <v>33</v>
      </c>
      <c r="D148" s="10" t="n">
        <f aca="false">F45</f>
        <v>0</v>
      </c>
      <c r="E148" s="18" t="n">
        <f aca="false">D148/$D$137</f>
        <v>0</v>
      </c>
    </row>
    <row r="149" customFormat="false" ht="15" hidden="false" customHeight="false" outlineLevel="0" collapsed="false">
      <c r="B149" s="0" t="s">
        <v>69</v>
      </c>
      <c r="C149" s="0" t="s">
        <v>36</v>
      </c>
      <c r="D149" s="10" t="n">
        <f aca="false">F47</f>
        <v>169016.56</v>
      </c>
      <c r="E149" s="18" t="n">
        <f aca="false">D149/$D$137</f>
        <v>0.00878018138389114</v>
      </c>
    </row>
    <row r="150" customFormat="false" ht="15" hidden="false" customHeight="false" outlineLevel="0" collapsed="false">
      <c r="B150" s="0" t="s">
        <v>70</v>
      </c>
      <c r="C150" s="0" t="s">
        <v>71</v>
      </c>
      <c r="D150" s="10" t="n">
        <f aca="false">F49</f>
        <v>62500</v>
      </c>
      <c r="E150" s="18" t="n">
        <f aca="false">D150/$D$137</f>
        <v>0.00324679035292871</v>
      </c>
    </row>
    <row r="151" customFormat="false" ht="15" hidden="false" customHeight="false" outlineLevel="0" collapsed="false">
      <c r="B151" s="0" t="s">
        <v>72</v>
      </c>
      <c r="C151" s="0" t="s">
        <v>73</v>
      </c>
      <c r="D151" s="10" t="n">
        <f aca="false">F51</f>
        <v>0</v>
      </c>
      <c r="E151" s="18" t="n">
        <f aca="false">D151/$D$137</f>
        <v>0</v>
      </c>
    </row>
    <row r="152" customFormat="false" ht="15" hidden="false" customHeight="false" outlineLevel="0" collapsed="false">
      <c r="B152" s="0" t="s">
        <v>74</v>
      </c>
      <c r="C152" s="0" t="s">
        <v>45</v>
      </c>
      <c r="D152" s="10" t="n">
        <f aca="false">F53</f>
        <v>85389.59</v>
      </c>
      <c r="E152" s="18" t="n">
        <f aca="false">D152/$D$137</f>
        <v>0.0044358735528406</v>
      </c>
    </row>
    <row r="153" customFormat="false" ht="15" hidden="false" customHeight="false" outlineLevel="0" collapsed="false">
      <c r="B153" s="0" t="s">
        <v>75</v>
      </c>
      <c r="C153" s="0" t="s">
        <v>76</v>
      </c>
      <c r="D153" s="10" t="n">
        <f aca="false">F56</f>
        <v>8247936.87</v>
      </c>
      <c r="E153" s="18" t="n">
        <f aca="false">D153/$D$137</f>
        <v>0.428469149777296</v>
      </c>
    </row>
    <row r="154" customFormat="false" ht="15" hidden="false" customHeight="false" outlineLevel="0" collapsed="false">
      <c r="B154" s="0" t="s">
        <v>77</v>
      </c>
      <c r="C154" s="0" t="s">
        <v>50</v>
      </c>
      <c r="D154" s="10" t="n">
        <f aca="false">F58</f>
        <v>0</v>
      </c>
      <c r="E154" s="18" t="n">
        <f aca="false">D154/$D$137</f>
        <v>0</v>
      </c>
    </row>
    <row r="155" customFormat="false" ht="15" hidden="false" customHeight="false" outlineLevel="0" collapsed="false">
      <c r="C155" s="12" t="s">
        <v>78</v>
      </c>
      <c r="D155" s="13" t="n">
        <f aca="false">D145+D146+D147+D148+D149+D150+D151-D152-D153-D154</f>
        <v>-36152.080000001</v>
      </c>
      <c r="E155" s="19" t="n">
        <f aca="false">D155/D137</f>
        <v>-0.00187805159331696</v>
      </c>
    </row>
    <row r="156" customFormat="false" ht="15" hidden="false" customHeight="false" outlineLevel="0" collapsed="false">
      <c r="C156" s="0" t="s">
        <v>79</v>
      </c>
      <c r="D156" s="10" t="n">
        <f aca="false">MAR26!D155</f>
        <v>-25687.7040000008</v>
      </c>
      <c r="E156" s="17" t="n">
        <f aca="false">MAR26!E155</f>
        <v>-0.00133990832100588</v>
      </c>
    </row>
    <row r="160" customFormat="false" ht="15" hidden="false" customHeight="false" outlineLevel="0" collapsed="false">
      <c r="B160" s="12" t="s">
        <v>80</v>
      </c>
    </row>
    <row r="162" customFormat="false" ht="15" hidden="false" customHeight="false" outlineLevel="0" collapsed="false">
      <c r="B162" s="12" t="s">
        <v>81</v>
      </c>
    </row>
    <row r="163" customFormat="false" ht="15" hidden="false" customHeight="false" outlineLevel="0" collapsed="false">
      <c r="B163" s="0" t="s">
        <v>82</v>
      </c>
    </row>
    <row r="164" customFormat="false" ht="15" hidden="false" customHeight="false" outlineLevel="0" collapsed="false">
      <c r="B164" s="12" t="s">
        <v>83</v>
      </c>
    </row>
    <row r="165" customFormat="false" ht="15" hidden="false" customHeight="false" outlineLevel="0" collapsed="false">
      <c r="B165" s="0" t="s">
        <v>84</v>
      </c>
    </row>
    <row r="166" customFormat="false" ht="15" hidden="false" customHeight="false" outlineLevel="0" collapsed="false">
      <c r="B166" s="12" t="s">
        <v>85</v>
      </c>
    </row>
    <row r="167" customFormat="false" ht="15" hidden="false" customHeight="false" outlineLevel="0" collapsed="false">
      <c r="B167" s="0" t="s">
        <v>86</v>
      </c>
    </row>
    <row r="168" customFormat="false" ht="15" hidden="false" customHeight="false" outlineLevel="0" collapsed="false">
      <c r="B168" s="12" t="s">
        <v>87</v>
      </c>
    </row>
    <row r="169" customFormat="false" ht="15" hidden="false" customHeight="false" outlineLevel="0" collapsed="false">
      <c r="B169" s="0" t="s">
        <v>88</v>
      </c>
    </row>
    <row r="170" customFormat="false" ht="15" hidden="false" customHeight="false" outlineLevel="0" collapsed="false">
      <c r="B170" s="12" t="s">
        <v>89</v>
      </c>
    </row>
    <row r="171" customFormat="false" ht="15" hidden="false" customHeight="false" outlineLevel="0" collapsed="false">
      <c r="B171" s="0" t="s">
        <v>90</v>
      </c>
    </row>
    <row r="172" customFormat="false" ht="15" hidden="false" customHeight="false" outlineLevel="0" collapsed="false">
      <c r="B172" s="12" t="s">
        <v>91</v>
      </c>
    </row>
    <row r="173" customFormat="false" ht="15" hidden="false" customHeight="false" outlineLevel="0" collapsed="false">
      <c r="B173" s="0" t="s">
        <v>92</v>
      </c>
    </row>
    <row r="174" customFormat="false" ht="15" hidden="false" customHeight="false" outlineLevel="0" collapsed="false">
      <c r="B174" s="12" t="s">
        <v>93</v>
      </c>
    </row>
    <row r="175" customFormat="false" ht="15" hidden="false" customHeight="false" outlineLevel="0" collapsed="false">
      <c r="B175" s="0" t="s">
        <v>94</v>
      </c>
    </row>
    <row r="176" customFormat="false" ht="15" hidden="false" customHeight="false" outlineLevel="0" collapsed="false">
      <c r="B176" s="12" t="s">
        <v>95</v>
      </c>
    </row>
    <row r="177" customFormat="false" ht="15" hidden="false" customHeight="false" outlineLevel="0" collapsed="false">
      <c r="B177" s="0" t="s">
        <v>96</v>
      </c>
    </row>
    <row r="178" customFormat="false" ht="15" hidden="false" customHeight="false" outlineLevel="0" collapsed="false">
      <c r="B178" s="12" t="s">
        <v>97</v>
      </c>
    </row>
    <row r="179" customFormat="false" ht="15" hidden="false" customHeight="false" outlineLevel="0" collapsed="false">
      <c r="B179" s="0" t="s">
        <v>98</v>
      </c>
    </row>
    <row r="180" customFormat="false" ht="15" hidden="false" customHeight="false" outlineLevel="0" collapsed="false">
      <c r="B180" s="12" t="s">
        <v>99</v>
      </c>
    </row>
    <row r="181" customFormat="false" ht="15" hidden="false" customHeight="false" outlineLevel="0" collapsed="false">
      <c r="B181" s="0" t="s">
        <v>100</v>
      </c>
    </row>
  </sheetData>
  <printOptions headings="false" gridLines="false" gridLinesSet="true" horizontalCentered="false" verticalCentered="false"/>
  <pageMargins left="0.75" right="0.75" top="1" bottom="1" header="0.511811023622047" footer="0.511811023622047"/>
  <pageSetup paperSize="9" scale="100" fitToWidth="1" fitToHeight="1" pageOrder="downThenOver" orientation="portrait" blackAndWhite="false" draft="false" cellComments="none" horizontalDpi="300" verticalDpi="300" copies="1"/>
  <headerFooter differentFirst="false" differentOddEven="false">
    <oddHeader/>
    <oddFooter/>
  </headerFooter>
</worksheet>
</file>

<file path=xl/worksheets/sheet10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r2="http://schemas.microsoft.com/office/spreadsheetml/2015/revision2" xmlns:mc="http://schemas.openxmlformats.org/markup-compatibility/2006">
  <sheetPr filterMode="false">
    <pageSetUpPr fitToPage="false"/>
  </sheetPr>
  <dimension ref="B2:J181"/>
  <sheetViews>
    <sheetView showFormulas="false" showGridLines="true" showRowColHeaders="true" showZeros="true" rightToLeft="false" tabSelected="false" showOutlineSymbols="true" defaultGridColor="true" view="normal" topLeftCell="A1" colorId="64" zoomScale="100" zoomScaleNormal="100" zoomScalePageLayoutView="100" workbookViewId="0">
      <selection pane="topLeft" activeCell="A1" activeCellId="0" sqref="A1"/>
    </sheetView>
  </sheetViews>
  <sheetFormatPr defaultColWidth="8.6796875" defaultRowHeight="15" zeroHeight="false" outlineLevelRow="0" outlineLevelCol="0"/>
  <cols>
    <col collapsed="false" customWidth="true" hidden="false" outlineLevel="0" max="1" min="1" style="0" width="3"/>
    <col collapsed="false" customWidth="true" hidden="false" outlineLevel="0" max="2" min="2" style="0" width="46"/>
    <col collapsed="false" customWidth="true" hidden="false" outlineLevel="0" max="3" min="3" style="0" width="30"/>
    <col collapsed="false" customWidth="true" hidden="false" outlineLevel="0" max="6" min="4" style="0" width="18"/>
    <col collapsed="false" customWidth="true" hidden="false" outlineLevel="0" max="7" min="7" style="0" width="44"/>
    <col collapsed="false" customWidth="true" hidden="false" outlineLevel="0" max="9" min="8" style="0" width="12"/>
    <col collapsed="false" customWidth="true" hidden="false" outlineLevel="0" max="10" min="10" style="0" width="18"/>
  </cols>
  <sheetData>
    <row r="2" customFormat="false" ht="17.35" hidden="false" customHeight="false" outlineLevel="0" collapsed="false">
      <c r="B2" s="1" t="s">
        <v>4</v>
      </c>
    </row>
    <row r="3" customFormat="false" ht="15" hidden="false" customHeight="false" outlineLevel="0" collapsed="false">
      <c r="B3" s="0" t="s">
        <v>5</v>
      </c>
    </row>
    <row r="4" customFormat="false" ht="15" hidden="false" customHeight="false" outlineLevel="0" collapsed="false">
      <c r="B4" s="0" t="s">
        <v>6</v>
      </c>
    </row>
    <row r="18" customFormat="false" ht="15" hidden="false" customHeight="false" outlineLevel="0" collapsed="false">
      <c r="B18" s="3" t="s">
        <v>7</v>
      </c>
    </row>
    <row r="19" customFormat="false" ht="15" hidden="false" customHeight="false" outlineLevel="0" collapsed="false">
      <c r="B19" s="4" t="s">
        <v>8</v>
      </c>
    </row>
    <row r="20" customFormat="false" ht="15" hidden="false" customHeight="false" outlineLevel="0" collapsed="false">
      <c r="B20" s="5" t="s">
        <v>9</v>
      </c>
    </row>
    <row r="21" customFormat="false" ht="15" hidden="false" customHeight="false" outlineLevel="0" collapsed="false">
      <c r="B21" s="6" t="s">
        <v>10</v>
      </c>
    </row>
    <row r="24" customFormat="false" ht="15" hidden="false" customHeight="false" outlineLevel="0" collapsed="false">
      <c r="B24" s="0" t="s">
        <v>11</v>
      </c>
      <c r="D24" s="3" t="s">
        <v>12</v>
      </c>
    </row>
    <row r="26" customFormat="false" ht="15" hidden="false" customHeight="false" outlineLevel="0" collapsed="false">
      <c r="B26" s="0" t="s">
        <v>13</v>
      </c>
      <c r="E26" s="7" t="n">
        <v>46143</v>
      </c>
    </row>
    <row r="28" customFormat="false" ht="15" hidden="false" customHeight="false" outlineLevel="0" collapsed="false">
      <c r="B28" s="0" t="s">
        <v>14</v>
      </c>
      <c r="J28" s="8" t="n">
        <v>19328320</v>
      </c>
    </row>
    <row r="29" customFormat="false" ht="15" hidden="false" customHeight="false" outlineLevel="0" collapsed="false">
      <c r="B29" s="0" t="s">
        <v>15</v>
      </c>
      <c r="J29" s="3" t="s">
        <v>16</v>
      </c>
    </row>
    <row r="31" customFormat="false" ht="15" hidden="false" customHeight="false" outlineLevel="0" collapsed="false">
      <c r="B31" s="0" t="s">
        <v>17</v>
      </c>
      <c r="F31" s="9" t="n">
        <v>0.0514</v>
      </c>
    </row>
    <row r="33" customFormat="false" ht="15" hidden="false" customHeight="false" outlineLevel="0" collapsed="false">
      <c r="B33" s="0" t="s">
        <v>18</v>
      </c>
      <c r="F33" s="9" t="n">
        <v>0.0238</v>
      </c>
    </row>
    <row r="35" customFormat="false" ht="15" hidden="false" customHeight="false" outlineLevel="0" collapsed="false">
      <c r="B35" s="0" t="s">
        <v>19</v>
      </c>
      <c r="F35" s="9" t="n">
        <v>0.5773</v>
      </c>
    </row>
    <row r="37" customFormat="false" ht="15" hidden="false" customHeight="false" outlineLevel="0" collapsed="false">
      <c r="B37" s="0" t="s">
        <v>20</v>
      </c>
      <c r="F37" s="9" t="n">
        <v>0.4428</v>
      </c>
    </row>
    <row r="39" customFormat="false" ht="15" hidden="false" customHeight="false" outlineLevel="0" collapsed="false">
      <c r="B39" s="0" t="s">
        <v>21</v>
      </c>
      <c r="F39" s="10" t="n">
        <f aca="false">F37*J28</f>
        <v>8558580.096</v>
      </c>
    </row>
    <row r="41" customFormat="false" ht="15" hidden="false" customHeight="false" outlineLevel="0" collapsed="false">
      <c r="B41" s="0" t="s">
        <v>22</v>
      </c>
      <c r="F41" s="10" t="n">
        <f aca="false">E74</f>
        <v>0</v>
      </c>
    </row>
    <row r="43" customFormat="false" ht="15" hidden="false" customHeight="false" outlineLevel="0" collapsed="false">
      <c r="B43" s="0" t="s">
        <v>23</v>
      </c>
      <c r="F43" s="10" t="n">
        <f aca="false">E88</f>
        <v>0</v>
      </c>
    </row>
    <row r="45" customFormat="false" ht="15" hidden="false" customHeight="false" outlineLevel="0" collapsed="false">
      <c r="B45" s="0" t="s">
        <v>24</v>
      </c>
      <c r="F45" s="10" t="n">
        <f aca="false">J74</f>
        <v>0</v>
      </c>
    </row>
    <row r="47" customFormat="false" ht="15" hidden="false" customHeight="false" outlineLevel="0" collapsed="false">
      <c r="B47" s="0" t="s">
        <v>25</v>
      </c>
      <c r="F47" s="10" t="n">
        <f aca="false">J88</f>
        <v>156717.12</v>
      </c>
    </row>
    <row r="49" customFormat="false" ht="15" hidden="false" customHeight="false" outlineLevel="0" collapsed="false">
      <c r="B49" s="0" t="s">
        <v>26</v>
      </c>
      <c r="F49" s="10" t="n">
        <f aca="false">E102</f>
        <v>62500</v>
      </c>
    </row>
    <row r="51" customFormat="false" ht="15" hidden="false" customHeight="false" outlineLevel="0" collapsed="false">
      <c r="B51" s="0" t="s">
        <v>27</v>
      </c>
      <c r="F51" s="10" t="n">
        <f aca="false">J102</f>
        <v>0</v>
      </c>
    </row>
    <row r="53" customFormat="false" ht="15" hidden="false" customHeight="false" outlineLevel="0" collapsed="false">
      <c r="B53" s="0" t="s">
        <v>28</v>
      </c>
      <c r="F53" s="10" t="n">
        <f aca="false">E115</f>
        <v>79889.13</v>
      </c>
    </row>
    <row r="55" customFormat="false" ht="15" hidden="false" customHeight="false" outlineLevel="0" collapsed="false">
      <c r="B55" s="0" t="s">
        <v>29</v>
      </c>
      <c r="F55" s="8" t="n">
        <v>8745207.56</v>
      </c>
    </row>
    <row r="56" customFormat="false" ht="15" hidden="false" customHeight="false" outlineLevel="0" collapsed="false">
      <c r="B56" s="0" t="s">
        <v>30</v>
      </c>
      <c r="F56" s="10" t="n">
        <f aca="false">F55-J115</f>
        <v>8745207.56</v>
      </c>
    </row>
    <row r="58" customFormat="false" ht="15" hidden="false" customHeight="false" outlineLevel="0" collapsed="false">
      <c r="B58" s="0" t="s">
        <v>31</v>
      </c>
      <c r="F58" s="10" t="n">
        <f aca="false">E129</f>
        <v>0</v>
      </c>
    </row>
    <row r="63" customFormat="false" ht="15" hidden="false" customHeight="false" outlineLevel="0" collapsed="false">
      <c r="B63" s="11" t="s">
        <v>32</v>
      </c>
      <c r="G63" s="11" t="s">
        <v>33</v>
      </c>
    </row>
    <row r="74" customFormat="false" ht="15" hidden="false" customHeight="false" outlineLevel="0" collapsed="false">
      <c r="B74" s="12" t="s">
        <v>34</v>
      </c>
      <c r="E74" s="13" t="n">
        <f aca="false">SUM(E64:E73)</f>
        <v>0</v>
      </c>
      <c r="G74" s="12" t="s">
        <v>34</v>
      </c>
      <c r="J74" s="13" t="n">
        <f aca="false">SUM(J64:J73)</f>
        <v>0</v>
      </c>
    </row>
    <row r="77" customFormat="false" ht="15" hidden="false" customHeight="false" outlineLevel="0" collapsed="false">
      <c r="B77" s="11" t="s">
        <v>35</v>
      </c>
      <c r="G77" s="11" t="s">
        <v>36</v>
      </c>
    </row>
    <row r="78" customFormat="false" ht="15" hidden="false" customHeight="false" outlineLevel="0" collapsed="false">
      <c r="G78" s="0" t="s">
        <v>104</v>
      </c>
      <c r="J78" s="14" t="n">
        <v>27434.07</v>
      </c>
    </row>
    <row r="79" customFormat="false" ht="15" hidden="false" customHeight="false" outlineLevel="0" collapsed="false">
      <c r="G79" s="0" t="s">
        <v>105</v>
      </c>
      <c r="J79" s="14" t="n">
        <v>53196.85</v>
      </c>
    </row>
    <row r="80" customFormat="false" ht="15" hidden="false" customHeight="false" outlineLevel="0" collapsed="false">
      <c r="G80" s="0" t="s">
        <v>106</v>
      </c>
      <c r="J80" s="14" t="n">
        <v>38034.19</v>
      </c>
    </row>
    <row r="81" customFormat="false" ht="15" hidden="false" customHeight="false" outlineLevel="0" collapsed="false">
      <c r="G81" s="0" t="s">
        <v>107</v>
      </c>
      <c r="J81" s="14" t="n">
        <v>38052.01</v>
      </c>
    </row>
    <row r="88" customFormat="false" ht="15" hidden="false" customHeight="false" outlineLevel="0" collapsed="false">
      <c r="B88" s="12" t="s">
        <v>34</v>
      </c>
      <c r="E88" s="13" t="n">
        <f aca="false">SUM(E78:E87)</f>
        <v>0</v>
      </c>
      <c r="G88" s="12" t="s">
        <v>34</v>
      </c>
      <c r="J88" s="13" t="n">
        <f aca="false">SUM(J78:J87)</f>
        <v>156717.12</v>
      </c>
    </row>
    <row r="91" customFormat="false" ht="15" hidden="false" customHeight="false" outlineLevel="0" collapsed="false">
      <c r="B91" s="11" t="s">
        <v>40</v>
      </c>
      <c r="G91" s="11" t="s">
        <v>41</v>
      </c>
    </row>
    <row r="92" customFormat="false" ht="15" hidden="false" customHeight="false" outlineLevel="0" collapsed="false">
      <c r="B92" s="0" t="s">
        <v>42</v>
      </c>
      <c r="E92" s="14" t="n">
        <v>9800</v>
      </c>
    </row>
    <row r="93" customFormat="false" ht="15" hidden="false" customHeight="false" outlineLevel="0" collapsed="false">
      <c r="B93" s="0" t="s">
        <v>43</v>
      </c>
      <c r="E93" s="14" t="n">
        <v>38500</v>
      </c>
    </row>
    <row r="94" customFormat="false" ht="15" hidden="false" customHeight="false" outlineLevel="0" collapsed="false">
      <c r="B94" s="0" t="s">
        <v>44</v>
      </c>
      <c r="E94" s="14" t="n">
        <v>14200</v>
      </c>
    </row>
    <row r="102" customFormat="false" ht="15" hidden="false" customHeight="false" outlineLevel="0" collapsed="false">
      <c r="B102" s="12" t="s">
        <v>34</v>
      </c>
      <c r="E102" s="13" t="n">
        <f aca="false">SUM(E92:E101)</f>
        <v>62500</v>
      </c>
      <c r="G102" s="12" t="s">
        <v>34</v>
      </c>
      <c r="J102" s="13" t="n">
        <f aca="false">SUM(J92:J101)</f>
        <v>0</v>
      </c>
    </row>
    <row r="105" customFormat="false" ht="15" hidden="false" customHeight="false" outlineLevel="0" collapsed="false">
      <c r="B105" s="11" t="s">
        <v>45</v>
      </c>
      <c r="G105" s="11" t="s">
        <v>46</v>
      </c>
    </row>
    <row r="106" customFormat="false" ht="15" hidden="false" customHeight="false" outlineLevel="0" collapsed="false">
      <c r="B106" s="0" t="s">
        <v>134</v>
      </c>
      <c r="E106" s="14" t="n">
        <v>23622.63</v>
      </c>
    </row>
    <row r="107" customFormat="false" ht="15" hidden="false" customHeight="false" outlineLevel="0" collapsed="false">
      <c r="B107" s="0" t="s">
        <v>135</v>
      </c>
      <c r="E107" s="14" t="n">
        <v>20004.07</v>
      </c>
    </row>
    <row r="108" customFormat="false" ht="15" hidden="false" customHeight="false" outlineLevel="0" collapsed="false">
      <c r="B108" s="0" t="s">
        <v>136</v>
      </c>
      <c r="E108" s="14" t="n">
        <v>22930.85</v>
      </c>
    </row>
    <row r="109" customFormat="false" ht="15" hidden="false" customHeight="false" outlineLevel="0" collapsed="false">
      <c r="B109" s="0" t="s">
        <v>137</v>
      </c>
      <c r="E109" s="14" t="n">
        <v>13331.58</v>
      </c>
    </row>
    <row r="115" customFormat="false" ht="15" hidden="false" customHeight="false" outlineLevel="0" collapsed="false">
      <c r="B115" s="12" t="s">
        <v>34</v>
      </c>
      <c r="E115" s="13" t="n">
        <f aca="false">SUM(E106:E114)</f>
        <v>79889.13</v>
      </c>
      <c r="G115" s="12" t="s">
        <v>34</v>
      </c>
      <c r="J115" s="13" t="n">
        <f aca="false">SUM(J106:J114)</f>
        <v>0</v>
      </c>
    </row>
    <row r="118" customFormat="false" ht="15" hidden="false" customHeight="false" outlineLevel="0" collapsed="false">
      <c r="B118" s="11" t="s">
        <v>50</v>
      </c>
    </row>
    <row r="129" customFormat="false" ht="15" hidden="false" customHeight="false" outlineLevel="0" collapsed="false">
      <c r="B129" s="12" t="s">
        <v>34</v>
      </c>
      <c r="E129" s="13" t="n">
        <f aca="false">SUM(E119:E128)</f>
        <v>0</v>
      </c>
    </row>
    <row r="132" customFormat="false" ht="17.35" hidden="false" customHeight="false" outlineLevel="0" collapsed="false">
      <c r="B132" s="1" t="s">
        <v>51</v>
      </c>
    </row>
    <row r="135" customFormat="false" ht="15" hidden="false" customHeight="false" outlineLevel="0" collapsed="false">
      <c r="G135" s="12" t="s">
        <v>52</v>
      </c>
    </row>
    <row r="136" customFormat="false" ht="15" hidden="false" customHeight="false" outlineLevel="0" collapsed="false">
      <c r="C136" s="0" t="s">
        <v>53</v>
      </c>
      <c r="D136" s="4" t="str">
        <f aca="false">D24</f>
        <v>POTENGI</v>
      </c>
      <c r="G136" s="15" t="s">
        <v>54</v>
      </c>
      <c r="J136" s="8" t="n">
        <v>622964.23</v>
      </c>
    </row>
    <row r="137" customFormat="false" ht="15" hidden="false" customHeight="false" outlineLevel="0" collapsed="false">
      <c r="C137" s="0" t="s">
        <v>55</v>
      </c>
      <c r="D137" s="10" t="n">
        <f aca="false">J28</f>
        <v>19328320</v>
      </c>
      <c r="G137" s="15" t="s">
        <v>56</v>
      </c>
      <c r="J137" s="8" t="n">
        <v>497270.69</v>
      </c>
    </row>
    <row r="138" customFormat="false" ht="15" hidden="false" customHeight="false" outlineLevel="0" collapsed="false">
      <c r="C138" s="0" t="s">
        <v>15</v>
      </c>
      <c r="D138" s="4" t="str">
        <f aca="false">J29</f>
        <v>Orçamento executivo</v>
      </c>
      <c r="G138" s="15" t="s">
        <v>57</v>
      </c>
      <c r="J138" s="10" t="n">
        <f aca="false">J137-J136</f>
        <v>-125693.54</v>
      </c>
    </row>
    <row r="139" customFormat="false" ht="15" hidden="false" customHeight="false" outlineLevel="0" collapsed="false">
      <c r="C139" s="0" t="s">
        <v>58</v>
      </c>
      <c r="D139" s="16" t="n">
        <f aca="false">E26</f>
        <v>46143</v>
      </c>
      <c r="G139" s="15" t="s">
        <v>59</v>
      </c>
    </row>
    <row r="140" customFormat="false" ht="28.35" hidden="false" customHeight="false" outlineLevel="0" collapsed="false">
      <c r="C140" s="0" t="s">
        <v>60</v>
      </c>
      <c r="D140" s="17" t="n">
        <f aca="false">F31</f>
        <v>0.0514</v>
      </c>
      <c r="G140" s="20" t="s">
        <v>129</v>
      </c>
    </row>
    <row r="141" customFormat="false" ht="15" hidden="false" customHeight="false" outlineLevel="0" collapsed="false">
      <c r="C141" s="0" t="s">
        <v>61</v>
      </c>
      <c r="D141" s="17" t="n">
        <f aca="false">F33</f>
        <v>0.0238</v>
      </c>
    </row>
    <row r="142" customFormat="false" ht="15" hidden="false" customHeight="false" outlineLevel="0" collapsed="false">
      <c r="C142" s="0" t="s">
        <v>62</v>
      </c>
      <c r="D142" s="17" t="n">
        <f aca="false">F35</f>
        <v>0.5773</v>
      </c>
    </row>
    <row r="143" customFormat="false" ht="15" hidden="false" customHeight="false" outlineLevel="0" collapsed="false">
      <c r="C143" s="0" t="s">
        <v>63</v>
      </c>
      <c r="D143" s="17" t="n">
        <f aca="false">F37</f>
        <v>0.4428</v>
      </c>
    </row>
    <row r="145" customFormat="false" ht="15" hidden="false" customHeight="false" outlineLevel="0" collapsed="false">
      <c r="B145" s="0" t="s">
        <v>64</v>
      </c>
      <c r="C145" s="0" t="s">
        <v>65</v>
      </c>
      <c r="D145" s="10" t="n">
        <f aca="false">F39</f>
        <v>8558580.096</v>
      </c>
      <c r="E145" s="18" t="n">
        <f aca="false">D145/$D$137</f>
        <v>0.4428</v>
      </c>
    </row>
    <row r="146" customFormat="false" ht="15" hidden="false" customHeight="false" outlineLevel="0" collapsed="false">
      <c r="B146" s="0" t="s">
        <v>66</v>
      </c>
      <c r="C146" s="0" t="s">
        <v>32</v>
      </c>
      <c r="D146" s="10" t="n">
        <f aca="false">F41</f>
        <v>0</v>
      </c>
      <c r="E146" s="18" t="n">
        <f aca="false">D146/$D$137</f>
        <v>0</v>
      </c>
    </row>
    <row r="147" customFormat="false" ht="15" hidden="false" customHeight="false" outlineLevel="0" collapsed="false">
      <c r="B147" s="0" t="s">
        <v>67</v>
      </c>
      <c r="C147" s="0" t="s">
        <v>35</v>
      </c>
      <c r="D147" s="10" t="n">
        <f aca="false">F43</f>
        <v>0</v>
      </c>
      <c r="E147" s="18" t="n">
        <f aca="false">D147/$D$137</f>
        <v>0</v>
      </c>
    </row>
    <row r="148" customFormat="false" ht="15" hidden="false" customHeight="false" outlineLevel="0" collapsed="false">
      <c r="B148" s="0" t="s">
        <v>68</v>
      </c>
      <c r="C148" s="0" t="s">
        <v>33</v>
      </c>
      <c r="D148" s="10" t="n">
        <f aca="false">F45</f>
        <v>0</v>
      </c>
      <c r="E148" s="18" t="n">
        <f aca="false">D148/$D$137</f>
        <v>0</v>
      </c>
    </row>
    <row r="149" customFormat="false" ht="15" hidden="false" customHeight="false" outlineLevel="0" collapsed="false">
      <c r="B149" s="0" t="s">
        <v>69</v>
      </c>
      <c r="C149" s="0" t="s">
        <v>36</v>
      </c>
      <c r="D149" s="10" t="n">
        <f aca="false">F47</f>
        <v>156717.12</v>
      </c>
      <c r="E149" s="18" t="n">
        <f aca="false">D149/$D$137</f>
        <v>0.00810816046091952</v>
      </c>
    </row>
    <row r="150" customFormat="false" ht="15" hidden="false" customHeight="false" outlineLevel="0" collapsed="false">
      <c r="B150" s="0" t="s">
        <v>70</v>
      </c>
      <c r="C150" s="0" t="s">
        <v>71</v>
      </c>
      <c r="D150" s="10" t="n">
        <f aca="false">F49</f>
        <v>62500</v>
      </c>
      <c r="E150" s="18" t="n">
        <f aca="false">D150/$D$137</f>
        <v>0.0032335971258754</v>
      </c>
    </row>
    <row r="151" customFormat="false" ht="15" hidden="false" customHeight="false" outlineLevel="0" collapsed="false">
      <c r="B151" s="0" t="s">
        <v>72</v>
      </c>
      <c r="C151" s="0" t="s">
        <v>73</v>
      </c>
      <c r="D151" s="10" t="n">
        <f aca="false">F51</f>
        <v>0</v>
      </c>
      <c r="E151" s="18" t="n">
        <f aca="false">D151/$D$137</f>
        <v>0</v>
      </c>
    </row>
    <row r="152" customFormat="false" ht="15" hidden="false" customHeight="false" outlineLevel="0" collapsed="false">
      <c r="B152" s="0" t="s">
        <v>74</v>
      </c>
      <c r="C152" s="0" t="s">
        <v>45</v>
      </c>
      <c r="D152" s="10" t="n">
        <f aca="false">F53</f>
        <v>79889.13</v>
      </c>
      <c r="E152" s="18" t="n">
        <f aca="false">D152/$D$137</f>
        <v>0.00413326817850698</v>
      </c>
    </row>
    <row r="153" customFormat="false" ht="15" hidden="false" customHeight="false" outlineLevel="0" collapsed="false">
      <c r="B153" s="0" t="s">
        <v>75</v>
      </c>
      <c r="C153" s="0" t="s">
        <v>76</v>
      </c>
      <c r="D153" s="10" t="n">
        <f aca="false">F56</f>
        <v>8745207.56</v>
      </c>
      <c r="E153" s="18" t="n">
        <f aca="false">D153/$D$137</f>
        <v>0.452455648499197</v>
      </c>
    </row>
    <row r="154" customFormat="false" ht="15" hidden="false" customHeight="false" outlineLevel="0" collapsed="false">
      <c r="B154" s="0" t="s">
        <v>77</v>
      </c>
      <c r="C154" s="0" t="s">
        <v>50</v>
      </c>
      <c r="D154" s="10" t="n">
        <f aca="false">F58</f>
        <v>0</v>
      </c>
      <c r="E154" s="18" t="n">
        <f aca="false">D154/$D$137</f>
        <v>0</v>
      </c>
    </row>
    <row r="155" customFormat="false" ht="15" hidden="false" customHeight="false" outlineLevel="0" collapsed="false">
      <c r="C155" s="12" t="s">
        <v>78</v>
      </c>
      <c r="D155" s="13" t="n">
        <f aca="false">D145+D146+D147+D148+D149+D150+D151-D152-D153-D154</f>
        <v>-47299.4740000013</v>
      </c>
      <c r="E155" s="19" t="n">
        <f aca="false">D155/D137</f>
        <v>-0.00244715909090916</v>
      </c>
    </row>
    <row r="156" customFormat="false" ht="15" hidden="false" customHeight="false" outlineLevel="0" collapsed="false">
      <c r="C156" s="0" t="s">
        <v>79</v>
      </c>
      <c r="D156" s="10" t="n">
        <f aca="false">ABR26!D155</f>
        <v>-36152.080000001</v>
      </c>
      <c r="E156" s="17" t="n">
        <f aca="false">ABR26!E155</f>
        <v>-0.00187805159331696</v>
      </c>
    </row>
    <row r="160" customFormat="false" ht="15" hidden="false" customHeight="false" outlineLevel="0" collapsed="false">
      <c r="B160" s="12" t="s">
        <v>80</v>
      </c>
    </row>
    <row r="162" customFormat="false" ht="15" hidden="false" customHeight="false" outlineLevel="0" collapsed="false">
      <c r="B162" s="12" t="s">
        <v>81</v>
      </c>
    </row>
    <row r="163" customFormat="false" ht="15" hidden="false" customHeight="false" outlineLevel="0" collapsed="false">
      <c r="B163" s="0" t="s">
        <v>82</v>
      </c>
    </row>
    <row r="164" customFormat="false" ht="15" hidden="false" customHeight="false" outlineLevel="0" collapsed="false">
      <c r="B164" s="12" t="s">
        <v>83</v>
      </c>
    </row>
    <row r="165" customFormat="false" ht="15" hidden="false" customHeight="false" outlineLevel="0" collapsed="false">
      <c r="B165" s="0" t="s">
        <v>84</v>
      </c>
    </row>
    <row r="166" customFormat="false" ht="15" hidden="false" customHeight="false" outlineLevel="0" collapsed="false">
      <c r="B166" s="12" t="s">
        <v>85</v>
      </c>
    </row>
    <row r="167" customFormat="false" ht="15" hidden="false" customHeight="false" outlineLevel="0" collapsed="false">
      <c r="B167" s="0" t="s">
        <v>86</v>
      </c>
    </row>
    <row r="168" customFormat="false" ht="15" hidden="false" customHeight="false" outlineLevel="0" collapsed="false">
      <c r="B168" s="12" t="s">
        <v>87</v>
      </c>
    </row>
    <row r="169" customFormat="false" ht="15" hidden="false" customHeight="false" outlineLevel="0" collapsed="false">
      <c r="B169" s="0" t="s">
        <v>88</v>
      </c>
    </row>
    <row r="170" customFormat="false" ht="15" hidden="false" customHeight="false" outlineLevel="0" collapsed="false">
      <c r="B170" s="12" t="s">
        <v>89</v>
      </c>
    </row>
    <row r="171" customFormat="false" ht="15" hidden="false" customHeight="false" outlineLevel="0" collapsed="false">
      <c r="B171" s="0" t="s">
        <v>90</v>
      </c>
    </row>
    <row r="172" customFormat="false" ht="15" hidden="false" customHeight="false" outlineLevel="0" collapsed="false">
      <c r="B172" s="12" t="s">
        <v>91</v>
      </c>
    </row>
    <row r="173" customFormat="false" ht="15" hidden="false" customHeight="false" outlineLevel="0" collapsed="false">
      <c r="B173" s="0" t="s">
        <v>92</v>
      </c>
    </row>
    <row r="174" customFormat="false" ht="15" hidden="false" customHeight="false" outlineLevel="0" collapsed="false">
      <c r="B174" s="12" t="s">
        <v>93</v>
      </c>
    </row>
    <row r="175" customFormat="false" ht="15" hidden="false" customHeight="false" outlineLevel="0" collapsed="false">
      <c r="B175" s="0" t="s">
        <v>94</v>
      </c>
    </row>
    <row r="176" customFormat="false" ht="15" hidden="false" customHeight="false" outlineLevel="0" collapsed="false">
      <c r="B176" s="12" t="s">
        <v>95</v>
      </c>
    </row>
    <row r="177" customFormat="false" ht="15" hidden="false" customHeight="false" outlineLevel="0" collapsed="false">
      <c r="B177" s="0" t="s">
        <v>96</v>
      </c>
    </row>
    <row r="178" customFormat="false" ht="15" hidden="false" customHeight="false" outlineLevel="0" collapsed="false">
      <c r="B178" s="12" t="s">
        <v>97</v>
      </c>
    </row>
    <row r="179" customFormat="false" ht="15" hidden="false" customHeight="false" outlineLevel="0" collapsed="false">
      <c r="B179" s="0" t="s">
        <v>98</v>
      </c>
    </row>
    <row r="180" customFormat="false" ht="15" hidden="false" customHeight="false" outlineLevel="0" collapsed="false">
      <c r="B180" s="12" t="s">
        <v>99</v>
      </c>
    </row>
    <row r="181" customFormat="false" ht="15" hidden="false" customHeight="false" outlineLevel="0" collapsed="false">
      <c r="B181" s="0" t="s">
        <v>100</v>
      </c>
    </row>
  </sheetData>
  <printOptions headings="false" gridLines="false" gridLinesSet="true" horizontalCentered="false" verticalCentered="false"/>
  <pageMargins left="0.75" right="0.75" top="1" bottom="1" header="0.511811023622047" footer="0.511811023622047"/>
  <pageSetup paperSize="9" scale="100" fitToWidth="1" fitToHeight="1" pageOrder="downThenOver" orientation="portrait" blackAndWhite="false" draft="false" cellComments="none" horizontalDpi="300" verticalDpi="300" copies="1"/>
  <headerFooter differentFirst="false" differentOddEven="false">
    <oddHeader/>
    <oddFooter/>
  </headerFooter>
</worksheet>
</file>

<file path=xl/worksheets/sheet1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r2="http://schemas.microsoft.com/office/spreadsheetml/2015/revision2" xmlns:mc="http://schemas.openxmlformats.org/markup-compatibility/2006">
  <sheetPr filterMode="false">
    <pageSetUpPr fitToPage="false"/>
  </sheetPr>
  <dimension ref="B2:J181"/>
  <sheetViews>
    <sheetView showFormulas="false" showGridLines="true" showRowColHeaders="true" showZeros="true" rightToLeft="false" tabSelected="false" showOutlineSymbols="true" defaultGridColor="true" view="normal" topLeftCell="A1" colorId="64" zoomScale="100" zoomScaleNormal="100" zoomScalePageLayoutView="100" workbookViewId="0">
      <selection pane="topLeft" activeCell="A1" activeCellId="0" sqref="A1"/>
    </sheetView>
  </sheetViews>
  <sheetFormatPr defaultColWidth="8.6796875" defaultRowHeight="15" zeroHeight="false" outlineLevelRow="0" outlineLevelCol="0"/>
  <cols>
    <col collapsed="false" customWidth="true" hidden="false" outlineLevel="0" max="1" min="1" style="0" width="3"/>
    <col collapsed="false" customWidth="true" hidden="false" outlineLevel="0" max="2" min="2" style="0" width="46"/>
    <col collapsed="false" customWidth="true" hidden="false" outlineLevel="0" max="3" min="3" style="0" width="30"/>
    <col collapsed="false" customWidth="true" hidden="false" outlineLevel="0" max="6" min="4" style="0" width="18"/>
    <col collapsed="false" customWidth="true" hidden="false" outlineLevel="0" max="7" min="7" style="0" width="44"/>
    <col collapsed="false" customWidth="true" hidden="false" outlineLevel="0" max="9" min="8" style="0" width="12"/>
    <col collapsed="false" customWidth="true" hidden="false" outlineLevel="0" max="10" min="10" style="0" width="18"/>
  </cols>
  <sheetData>
    <row r="2" customFormat="false" ht="17.35" hidden="false" customHeight="false" outlineLevel="0" collapsed="false">
      <c r="B2" s="1" t="s">
        <v>4</v>
      </c>
    </row>
    <row r="3" customFormat="false" ht="15" hidden="false" customHeight="false" outlineLevel="0" collapsed="false">
      <c r="B3" s="0" t="s">
        <v>5</v>
      </c>
    </row>
    <row r="4" customFormat="false" ht="15" hidden="false" customHeight="false" outlineLevel="0" collapsed="false">
      <c r="B4" s="0" t="s">
        <v>6</v>
      </c>
    </row>
    <row r="18" customFormat="false" ht="15" hidden="false" customHeight="false" outlineLevel="0" collapsed="false">
      <c r="B18" s="3" t="s">
        <v>7</v>
      </c>
    </row>
    <row r="19" customFormat="false" ht="15" hidden="false" customHeight="false" outlineLevel="0" collapsed="false">
      <c r="B19" s="4" t="s">
        <v>8</v>
      </c>
    </row>
    <row r="20" customFormat="false" ht="15" hidden="false" customHeight="false" outlineLevel="0" collapsed="false">
      <c r="B20" s="5" t="s">
        <v>9</v>
      </c>
    </row>
    <row r="21" customFormat="false" ht="15" hidden="false" customHeight="false" outlineLevel="0" collapsed="false">
      <c r="B21" s="6" t="s">
        <v>10</v>
      </c>
    </row>
    <row r="24" customFormat="false" ht="15" hidden="false" customHeight="false" outlineLevel="0" collapsed="false">
      <c r="B24" s="0" t="s">
        <v>11</v>
      </c>
      <c r="D24" s="3" t="s">
        <v>12</v>
      </c>
    </row>
    <row r="26" customFormat="false" ht="15" hidden="false" customHeight="false" outlineLevel="0" collapsed="false">
      <c r="B26" s="0" t="s">
        <v>13</v>
      </c>
      <c r="E26" s="7" t="n">
        <v>46174</v>
      </c>
    </row>
    <row r="28" customFormat="false" ht="15" hidden="false" customHeight="false" outlineLevel="0" collapsed="false">
      <c r="B28" s="0" t="s">
        <v>14</v>
      </c>
      <c r="J28" s="8" t="n">
        <v>19406860</v>
      </c>
    </row>
    <row r="29" customFormat="false" ht="15" hidden="false" customHeight="false" outlineLevel="0" collapsed="false">
      <c r="B29" s="0" t="s">
        <v>15</v>
      </c>
      <c r="J29" s="3" t="s">
        <v>16</v>
      </c>
    </row>
    <row r="31" customFormat="false" ht="15" hidden="false" customHeight="false" outlineLevel="0" collapsed="false">
      <c r="B31" s="0" t="s">
        <v>17</v>
      </c>
      <c r="F31" s="9" t="n">
        <v>0.0507</v>
      </c>
    </row>
    <row r="33" customFormat="false" ht="15" hidden="false" customHeight="false" outlineLevel="0" collapsed="false">
      <c r="B33" s="0" t="s">
        <v>18</v>
      </c>
      <c r="F33" s="9" t="n">
        <v>0.0284</v>
      </c>
    </row>
    <row r="35" customFormat="false" ht="15" hidden="false" customHeight="false" outlineLevel="0" collapsed="false">
      <c r="B35" s="0" t="s">
        <v>19</v>
      </c>
      <c r="F35" s="9" t="n">
        <v>0.628</v>
      </c>
    </row>
    <row r="37" customFormat="false" ht="15" hidden="false" customHeight="false" outlineLevel="0" collapsed="false">
      <c r="B37" s="0" t="s">
        <v>20</v>
      </c>
      <c r="F37" s="9" t="n">
        <v>0.4712</v>
      </c>
    </row>
    <row r="39" customFormat="false" ht="15" hidden="false" customHeight="false" outlineLevel="0" collapsed="false">
      <c r="B39" s="0" t="s">
        <v>21</v>
      </c>
      <c r="F39" s="10" t="n">
        <f aca="false">F37*J28</f>
        <v>9144512.432</v>
      </c>
    </row>
    <row r="41" customFormat="false" ht="15" hidden="false" customHeight="false" outlineLevel="0" collapsed="false">
      <c r="B41" s="0" t="s">
        <v>22</v>
      </c>
      <c r="F41" s="10" t="n">
        <f aca="false">E74</f>
        <v>0</v>
      </c>
    </row>
    <row r="43" customFormat="false" ht="15" hidden="false" customHeight="false" outlineLevel="0" collapsed="false">
      <c r="B43" s="0" t="s">
        <v>23</v>
      </c>
      <c r="F43" s="10" t="n">
        <f aca="false">E88</f>
        <v>0</v>
      </c>
    </row>
    <row r="45" customFormat="false" ht="15" hidden="false" customHeight="false" outlineLevel="0" collapsed="false">
      <c r="B45" s="0" t="s">
        <v>24</v>
      </c>
      <c r="F45" s="10" t="n">
        <f aca="false">J74</f>
        <v>0</v>
      </c>
    </row>
    <row r="47" customFormat="false" ht="15" hidden="false" customHeight="false" outlineLevel="0" collapsed="false">
      <c r="B47" s="0" t="s">
        <v>25</v>
      </c>
      <c r="F47" s="10" t="n">
        <f aca="false">J88</f>
        <v>178204.07</v>
      </c>
    </row>
    <row r="49" customFormat="false" ht="15" hidden="false" customHeight="false" outlineLevel="0" collapsed="false">
      <c r="B49" s="0" t="s">
        <v>26</v>
      </c>
      <c r="F49" s="10" t="n">
        <f aca="false">E102</f>
        <v>62500</v>
      </c>
    </row>
    <row r="51" customFormat="false" ht="15" hidden="false" customHeight="false" outlineLevel="0" collapsed="false">
      <c r="B51" s="0" t="s">
        <v>27</v>
      </c>
      <c r="F51" s="10" t="n">
        <f aca="false">J102</f>
        <v>0</v>
      </c>
    </row>
    <row r="53" customFormat="false" ht="15" hidden="false" customHeight="false" outlineLevel="0" collapsed="false">
      <c r="B53" s="0" t="s">
        <v>28</v>
      </c>
      <c r="F53" s="10" t="n">
        <f aca="false">E115</f>
        <v>103303.06</v>
      </c>
    </row>
    <row r="55" customFormat="false" ht="15" hidden="false" customHeight="false" outlineLevel="0" collapsed="false">
      <c r="B55" s="0" t="s">
        <v>29</v>
      </c>
      <c r="F55" s="8" t="n">
        <v>9342205.22</v>
      </c>
    </row>
    <row r="56" customFormat="false" ht="15" hidden="false" customHeight="false" outlineLevel="0" collapsed="false">
      <c r="B56" s="0" t="s">
        <v>30</v>
      </c>
      <c r="F56" s="10" t="n">
        <f aca="false">F55-J115</f>
        <v>9342205.22</v>
      </c>
    </row>
    <row r="58" customFormat="false" ht="15" hidden="false" customHeight="false" outlineLevel="0" collapsed="false">
      <c r="B58" s="0" t="s">
        <v>31</v>
      </c>
      <c r="F58" s="10" t="n">
        <f aca="false">E129</f>
        <v>0</v>
      </c>
    </row>
    <row r="63" customFormat="false" ht="15" hidden="false" customHeight="false" outlineLevel="0" collapsed="false">
      <c r="B63" s="11" t="s">
        <v>32</v>
      </c>
      <c r="G63" s="11" t="s">
        <v>33</v>
      </c>
    </row>
    <row r="74" customFormat="false" ht="15" hidden="false" customHeight="false" outlineLevel="0" collapsed="false">
      <c r="B74" s="12" t="s">
        <v>34</v>
      </c>
      <c r="E74" s="13" t="n">
        <f aca="false">SUM(E64:E73)</f>
        <v>0</v>
      </c>
      <c r="G74" s="12" t="s">
        <v>34</v>
      </c>
      <c r="J74" s="13" t="n">
        <f aca="false">SUM(J64:J73)</f>
        <v>0</v>
      </c>
    </row>
    <row r="77" customFormat="false" ht="15" hidden="false" customHeight="false" outlineLevel="0" collapsed="false">
      <c r="B77" s="11" t="s">
        <v>35</v>
      </c>
      <c r="G77" s="11" t="s">
        <v>36</v>
      </c>
    </row>
    <row r="78" customFormat="false" ht="15" hidden="false" customHeight="false" outlineLevel="0" collapsed="false">
      <c r="G78" s="0" t="s">
        <v>104</v>
      </c>
      <c r="J78" s="14" t="n">
        <v>37515.02</v>
      </c>
    </row>
    <row r="79" customFormat="false" ht="15" hidden="false" customHeight="false" outlineLevel="0" collapsed="false">
      <c r="G79" s="0" t="s">
        <v>105</v>
      </c>
      <c r="J79" s="14" t="n">
        <v>53391.44</v>
      </c>
    </row>
    <row r="80" customFormat="false" ht="15" hidden="false" customHeight="false" outlineLevel="0" collapsed="false">
      <c r="G80" s="0" t="s">
        <v>106</v>
      </c>
      <c r="J80" s="14" t="n">
        <v>46807.37</v>
      </c>
    </row>
    <row r="81" customFormat="false" ht="15" hidden="false" customHeight="false" outlineLevel="0" collapsed="false">
      <c r="G81" s="0" t="s">
        <v>107</v>
      </c>
      <c r="J81" s="14" t="n">
        <v>40490.24</v>
      </c>
    </row>
    <row r="88" customFormat="false" ht="15" hidden="false" customHeight="false" outlineLevel="0" collapsed="false">
      <c r="B88" s="12" t="s">
        <v>34</v>
      </c>
      <c r="E88" s="13" t="n">
        <f aca="false">SUM(E78:E87)</f>
        <v>0</v>
      </c>
      <c r="G88" s="12" t="s">
        <v>34</v>
      </c>
      <c r="J88" s="13" t="n">
        <f aca="false">SUM(J78:J87)</f>
        <v>178204.07</v>
      </c>
    </row>
    <row r="91" customFormat="false" ht="15" hidden="false" customHeight="false" outlineLevel="0" collapsed="false">
      <c r="B91" s="11" t="s">
        <v>40</v>
      </c>
      <c r="G91" s="11" t="s">
        <v>41</v>
      </c>
    </row>
    <row r="92" customFormat="false" ht="15" hidden="false" customHeight="false" outlineLevel="0" collapsed="false">
      <c r="B92" s="0" t="s">
        <v>42</v>
      </c>
      <c r="E92" s="14" t="n">
        <v>9800</v>
      </c>
    </row>
    <row r="93" customFormat="false" ht="15" hidden="false" customHeight="false" outlineLevel="0" collapsed="false">
      <c r="B93" s="0" t="s">
        <v>43</v>
      </c>
      <c r="E93" s="14" t="n">
        <v>38500</v>
      </c>
    </row>
    <row r="94" customFormat="false" ht="15" hidden="false" customHeight="false" outlineLevel="0" collapsed="false">
      <c r="B94" s="0" t="s">
        <v>44</v>
      </c>
      <c r="E94" s="14" t="n">
        <v>14200</v>
      </c>
    </row>
    <row r="102" customFormat="false" ht="15" hidden="false" customHeight="false" outlineLevel="0" collapsed="false">
      <c r="B102" s="12" t="s">
        <v>34</v>
      </c>
      <c r="E102" s="13" t="n">
        <f aca="false">SUM(E92:E101)</f>
        <v>62500</v>
      </c>
      <c r="G102" s="12" t="s">
        <v>34</v>
      </c>
      <c r="J102" s="13" t="n">
        <f aca="false">SUM(J92:J101)</f>
        <v>0</v>
      </c>
    </row>
    <row r="105" customFormat="false" ht="15" hidden="false" customHeight="false" outlineLevel="0" collapsed="false">
      <c r="B105" s="11" t="s">
        <v>45</v>
      </c>
      <c r="G105" s="11" t="s">
        <v>46</v>
      </c>
    </row>
    <row r="106" customFormat="false" ht="15" hidden="false" customHeight="false" outlineLevel="0" collapsed="false">
      <c r="B106" s="0" t="s">
        <v>138</v>
      </c>
      <c r="E106" s="14" t="n">
        <v>25490.35</v>
      </c>
    </row>
    <row r="107" customFormat="false" ht="15" hidden="false" customHeight="false" outlineLevel="0" collapsed="false">
      <c r="B107" s="0" t="s">
        <v>139</v>
      </c>
      <c r="E107" s="14" t="n">
        <v>29523.46</v>
      </c>
    </row>
    <row r="108" customFormat="false" ht="15" hidden="false" customHeight="false" outlineLevel="0" collapsed="false">
      <c r="B108" s="0" t="s">
        <v>140</v>
      </c>
      <c r="E108" s="14" t="n">
        <v>29817.13</v>
      </c>
    </row>
    <row r="109" customFormat="false" ht="15" hidden="false" customHeight="false" outlineLevel="0" collapsed="false">
      <c r="B109" s="0" t="s">
        <v>141</v>
      </c>
      <c r="E109" s="14" t="n">
        <v>18472.12</v>
      </c>
    </row>
    <row r="115" customFormat="false" ht="15" hidden="false" customHeight="false" outlineLevel="0" collapsed="false">
      <c r="B115" s="12" t="s">
        <v>34</v>
      </c>
      <c r="E115" s="13" t="n">
        <f aca="false">SUM(E106:E114)</f>
        <v>103303.06</v>
      </c>
      <c r="G115" s="12" t="s">
        <v>34</v>
      </c>
      <c r="J115" s="13" t="n">
        <f aca="false">SUM(J106:J114)</f>
        <v>0</v>
      </c>
    </row>
    <row r="118" customFormat="false" ht="15" hidden="false" customHeight="false" outlineLevel="0" collapsed="false">
      <c r="B118" s="11" t="s">
        <v>50</v>
      </c>
    </row>
    <row r="129" customFormat="false" ht="15" hidden="false" customHeight="false" outlineLevel="0" collapsed="false">
      <c r="B129" s="12" t="s">
        <v>34</v>
      </c>
      <c r="E129" s="13" t="n">
        <f aca="false">SUM(E119:E128)</f>
        <v>0</v>
      </c>
    </row>
    <row r="132" customFormat="false" ht="17.35" hidden="false" customHeight="false" outlineLevel="0" collapsed="false">
      <c r="B132" s="1" t="s">
        <v>51</v>
      </c>
    </row>
    <row r="135" customFormat="false" ht="15" hidden="false" customHeight="false" outlineLevel="0" collapsed="false">
      <c r="G135" s="12" t="s">
        <v>52</v>
      </c>
    </row>
    <row r="136" customFormat="false" ht="15" hidden="false" customHeight="false" outlineLevel="0" collapsed="false">
      <c r="C136" s="0" t="s">
        <v>53</v>
      </c>
      <c r="D136" s="4" t="str">
        <f aca="false">D24</f>
        <v>POTENGI</v>
      </c>
      <c r="G136" s="15" t="s">
        <v>54</v>
      </c>
      <c r="J136" s="8" t="n">
        <v>776044.71</v>
      </c>
    </row>
    <row r="137" customFormat="false" ht="15" hidden="false" customHeight="false" outlineLevel="0" collapsed="false">
      <c r="C137" s="0" t="s">
        <v>55</v>
      </c>
      <c r="D137" s="10" t="n">
        <f aca="false">J28</f>
        <v>19406860</v>
      </c>
      <c r="G137" s="15" t="s">
        <v>56</v>
      </c>
      <c r="J137" s="8" t="n">
        <v>596997.66</v>
      </c>
    </row>
    <row r="138" customFormat="false" ht="15" hidden="false" customHeight="false" outlineLevel="0" collapsed="false">
      <c r="C138" s="0" t="s">
        <v>15</v>
      </c>
      <c r="D138" s="4" t="str">
        <f aca="false">J29</f>
        <v>Orçamento executivo</v>
      </c>
      <c r="G138" s="15" t="s">
        <v>57</v>
      </c>
      <c r="J138" s="10" t="n">
        <f aca="false">J137-J136</f>
        <v>-179047.05</v>
      </c>
    </row>
    <row r="139" customFormat="false" ht="15" hidden="false" customHeight="false" outlineLevel="0" collapsed="false">
      <c r="C139" s="0" t="s">
        <v>58</v>
      </c>
      <c r="D139" s="16" t="n">
        <f aca="false">E26</f>
        <v>46174</v>
      </c>
      <c r="G139" s="15" t="s">
        <v>59</v>
      </c>
    </row>
    <row r="140" customFormat="false" ht="15" hidden="false" customHeight="false" outlineLevel="0" collapsed="false">
      <c r="C140" s="0" t="s">
        <v>60</v>
      </c>
      <c r="D140" s="17" t="n">
        <f aca="false">F31</f>
        <v>0.0507</v>
      </c>
    </row>
    <row r="141" customFormat="false" ht="15" hidden="false" customHeight="false" outlineLevel="0" collapsed="false">
      <c r="C141" s="0" t="s">
        <v>61</v>
      </c>
      <c r="D141" s="17" t="n">
        <f aca="false">F33</f>
        <v>0.0284</v>
      </c>
    </row>
    <row r="142" customFormat="false" ht="15" hidden="false" customHeight="false" outlineLevel="0" collapsed="false">
      <c r="C142" s="0" t="s">
        <v>62</v>
      </c>
      <c r="D142" s="17" t="n">
        <f aca="false">F35</f>
        <v>0.628</v>
      </c>
    </row>
    <row r="143" customFormat="false" ht="15" hidden="false" customHeight="false" outlineLevel="0" collapsed="false">
      <c r="C143" s="0" t="s">
        <v>63</v>
      </c>
      <c r="D143" s="17" t="n">
        <f aca="false">F37</f>
        <v>0.4712</v>
      </c>
    </row>
    <row r="145" customFormat="false" ht="15" hidden="false" customHeight="false" outlineLevel="0" collapsed="false">
      <c r="B145" s="0" t="s">
        <v>64</v>
      </c>
      <c r="C145" s="0" t="s">
        <v>65</v>
      </c>
      <c r="D145" s="10" t="n">
        <f aca="false">F39</f>
        <v>9144512.432</v>
      </c>
      <c r="E145" s="18" t="n">
        <f aca="false">D145/$D$137</f>
        <v>0.4712</v>
      </c>
    </row>
    <row r="146" customFormat="false" ht="15" hidden="false" customHeight="false" outlineLevel="0" collapsed="false">
      <c r="B146" s="0" t="s">
        <v>66</v>
      </c>
      <c r="C146" s="0" t="s">
        <v>32</v>
      </c>
      <c r="D146" s="10" t="n">
        <f aca="false">F41</f>
        <v>0</v>
      </c>
      <c r="E146" s="18" t="n">
        <f aca="false">D146/$D$137</f>
        <v>0</v>
      </c>
    </row>
    <row r="147" customFormat="false" ht="15" hidden="false" customHeight="false" outlineLevel="0" collapsed="false">
      <c r="B147" s="0" t="s">
        <v>67</v>
      </c>
      <c r="C147" s="0" t="s">
        <v>35</v>
      </c>
      <c r="D147" s="10" t="n">
        <f aca="false">F43</f>
        <v>0</v>
      </c>
      <c r="E147" s="18" t="n">
        <f aca="false">D147/$D$137</f>
        <v>0</v>
      </c>
    </row>
    <row r="148" customFormat="false" ht="15" hidden="false" customHeight="false" outlineLevel="0" collapsed="false">
      <c r="B148" s="0" t="s">
        <v>68</v>
      </c>
      <c r="C148" s="0" t="s">
        <v>33</v>
      </c>
      <c r="D148" s="10" t="n">
        <f aca="false">F45</f>
        <v>0</v>
      </c>
      <c r="E148" s="18" t="n">
        <f aca="false">D148/$D$137</f>
        <v>0</v>
      </c>
    </row>
    <row r="149" customFormat="false" ht="15" hidden="false" customHeight="false" outlineLevel="0" collapsed="false">
      <c r="B149" s="0" t="s">
        <v>69</v>
      </c>
      <c r="C149" s="0" t="s">
        <v>36</v>
      </c>
      <c r="D149" s="10" t="n">
        <f aca="false">F47</f>
        <v>178204.07</v>
      </c>
      <c r="E149" s="18" t="n">
        <f aca="false">D149/$D$137</f>
        <v>0.00918252978585923</v>
      </c>
    </row>
    <row r="150" customFormat="false" ht="15" hidden="false" customHeight="false" outlineLevel="0" collapsed="false">
      <c r="B150" s="0" t="s">
        <v>70</v>
      </c>
      <c r="C150" s="0" t="s">
        <v>71</v>
      </c>
      <c r="D150" s="10" t="n">
        <f aca="false">F49</f>
        <v>62500</v>
      </c>
      <c r="E150" s="18" t="n">
        <f aca="false">D150/$D$137</f>
        <v>0.00322051068539681</v>
      </c>
    </row>
    <row r="151" customFormat="false" ht="15" hidden="false" customHeight="false" outlineLevel="0" collapsed="false">
      <c r="B151" s="0" t="s">
        <v>72</v>
      </c>
      <c r="C151" s="0" t="s">
        <v>73</v>
      </c>
      <c r="D151" s="10" t="n">
        <f aca="false">F51</f>
        <v>0</v>
      </c>
      <c r="E151" s="18" t="n">
        <f aca="false">D151/$D$137</f>
        <v>0</v>
      </c>
    </row>
    <row r="152" customFormat="false" ht="15" hidden="false" customHeight="false" outlineLevel="0" collapsed="false">
      <c r="B152" s="0" t="s">
        <v>74</v>
      </c>
      <c r="C152" s="0" t="s">
        <v>45</v>
      </c>
      <c r="D152" s="10" t="n">
        <f aca="false">F53</f>
        <v>103303.06</v>
      </c>
      <c r="E152" s="18" t="n">
        <f aca="false">D152/$D$137</f>
        <v>0.00532301773702701</v>
      </c>
    </row>
    <row r="153" customFormat="false" ht="15" hidden="false" customHeight="false" outlineLevel="0" collapsed="false">
      <c r="B153" s="0" t="s">
        <v>75</v>
      </c>
      <c r="C153" s="0" t="s">
        <v>76</v>
      </c>
      <c r="D153" s="10" t="n">
        <f aca="false">F56</f>
        <v>9342205.22</v>
      </c>
      <c r="E153" s="18" t="n">
        <f aca="false">D153/$D$137</f>
        <v>0.481386747778878</v>
      </c>
    </row>
    <row r="154" customFormat="false" ht="15" hidden="false" customHeight="false" outlineLevel="0" collapsed="false">
      <c r="B154" s="0" t="s">
        <v>77</v>
      </c>
      <c r="C154" s="0" t="s">
        <v>50</v>
      </c>
      <c r="D154" s="10" t="n">
        <f aca="false">F58</f>
        <v>0</v>
      </c>
      <c r="E154" s="18" t="n">
        <f aca="false">D154/$D$137</f>
        <v>0</v>
      </c>
    </row>
    <row r="155" customFormat="false" ht="15" hidden="false" customHeight="false" outlineLevel="0" collapsed="false">
      <c r="C155" s="12" t="s">
        <v>78</v>
      </c>
      <c r="D155" s="13" t="n">
        <f aca="false">D145+D146+D147+D148+D149+D150+D151-D152-D153-D154</f>
        <v>-60291.7780000009</v>
      </c>
      <c r="E155" s="19" t="n">
        <f aca="false">D155/D137</f>
        <v>-0.0031067250446492</v>
      </c>
    </row>
    <row r="156" customFormat="false" ht="15" hidden="false" customHeight="false" outlineLevel="0" collapsed="false">
      <c r="C156" s="0" t="s">
        <v>79</v>
      </c>
      <c r="D156" s="10" t="n">
        <f aca="false">MAI26!D155</f>
        <v>-47299.4740000013</v>
      </c>
      <c r="E156" s="17" t="n">
        <f aca="false">MAI26!E155</f>
        <v>-0.00244715909090916</v>
      </c>
    </row>
    <row r="160" customFormat="false" ht="15" hidden="false" customHeight="false" outlineLevel="0" collapsed="false">
      <c r="B160" s="12" t="s">
        <v>80</v>
      </c>
    </row>
    <row r="162" customFormat="false" ht="15" hidden="false" customHeight="false" outlineLevel="0" collapsed="false">
      <c r="B162" s="12" t="s">
        <v>81</v>
      </c>
    </row>
    <row r="163" customFormat="false" ht="15" hidden="false" customHeight="false" outlineLevel="0" collapsed="false">
      <c r="B163" s="0" t="s">
        <v>82</v>
      </c>
    </row>
    <row r="164" customFormat="false" ht="15" hidden="false" customHeight="false" outlineLevel="0" collapsed="false">
      <c r="B164" s="12" t="s">
        <v>83</v>
      </c>
    </row>
    <row r="165" customFormat="false" ht="15" hidden="false" customHeight="false" outlineLevel="0" collapsed="false">
      <c r="B165" s="0" t="s">
        <v>84</v>
      </c>
    </row>
    <row r="166" customFormat="false" ht="15" hidden="false" customHeight="false" outlineLevel="0" collapsed="false">
      <c r="B166" s="12" t="s">
        <v>85</v>
      </c>
    </row>
    <row r="167" customFormat="false" ht="15" hidden="false" customHeight="false" outlineLevel="0" collapsed="false">
      <c r="B167" s="0" t="s">
        <v>86</v>
      </c>
    </row>
    <row r="168" customFormat="false" ht="15" hidden="false" customHeight="false" outlineLevel="0" collapsed="false">
      <c r="B168" s="12" t="s">
        <v>87</v>
      </c>
    </row>
    <row r="169" customFormat="false" ht="15" hidden="false" customHeight="false" outlineLevel="0" collapsed="false">
      <c r="B169" s="0" t="s">
        <v>88</v>
      </c>
    </row>
    <row r="170" customFormat="false" ht="15" hidden="false" customHeight="false" outlineLevel="0" collapsed="false">
      <c r="B170" s="12" t="s">
        <v>89</v>
      </c>
    </row>
    <row r="171" customFormat="false" ht="15" hidden="false" customHeight="false" outlineLevel="0" collapsed="false">
      <c r="B171" s="0" t="s">
        <v>90</v>
      </c>
    </row>
    <row r="172" customFormat="false" ht="15" hidden="false" customHeight="false" outlineLevel="0" collapsed="false">
      <c r="B172" s="12" t="s">
        <v>91</v>
      </c>
    </row>
    <row r="173" customFormat="false" ht="15" hidden="false" customHeight="false" outlineLevel="0" collapsed="false">
      <c r="B173" s="0" t="s">
        <v>92</v>
      </c>
    </row>
    <row r="174" customFormat="false" ht="15" hidden="false" customHeight="false" outlineLevel="0" collapsed="false">
      <c r="B174" s="12" t="s">
        <v>93</v>
      </c>
    </row>
    <row r="175" customFormat="false" ht="15" hidden="false" customHeight="false" outlineLevel="0" collapsed="false">
      <c r="B175" s="0" t="s">
        <v>94</v>
      </c>
    </row>
    <row r="176" customFormat="false" ht="15" hidden="false" customHeight="false" outlineLevel="0" collapsed="false">
      <c r="B176" s="12" t="s">
        <v>95</v>
      </c>
    </row>
    <row r="177" customFormat="false" ht="15" hidden="false" customHeight="false" outlineLevel="0" collapsed="false">
      <c r="B177" s="0" t="s">
        <v>96</v>
      </c>
    </row>
    <row r="178" customFormat="false" ht="15" hidden="false" customHeight="false" outlineLevel="0" collapsed="false">
      <c r="B178" s="12" t="s">
        <v>97</v>
      </c>
    </row>
    <row r="179" customFormat="false" ht="15" hidden="false" customHeight="false" outlineLevel="0" collapsed="false">
      <c r="B179" s="0" t="s">
        <v>98</v>
      </c>
    </row>
    <row r="180" customFormat="false" ht="15" hidden="false" customHeight="false" outlineLevel="0" collapsed="false">
      <c r="B180" s="12" t="s">
        <v>99</v>
      </c>
    </row>
    <row r="181" customFormat="false" ht="15" hidden="false" customHeight="false" outlineLevel="0" collapsed="false">
      <c r="B181" s="0" t="s">
        <v>100</v>
      </c>
    </row>
  </sheetData>
  <printOptions headings="false" gridLines="false" gridLinesSet="true" horizontalCentered="false" verticalCentered="false"/>
  <pageMargins left="0.75" right="0.75" top="1" bottom="1" header="0.511811023622047" footer="0.511811023622047"/>
  <pageSetup paperSize="9" scale="100" fitToWidth="1" fitToHeight="1" pageOrder="downThenOver" orientation="portrait" blackAndWhite="false" draft="false" cellComments="none" horizontalDpi="300" verticalDpi="300" copies="1"/>
  <headerFooter differentFirst="false" differentOddEven="false">
    <oddHeader/>
    <oddFooter/>
  </headerFooter>
</worksheet>
</file>

<file path=xl/worksheets/sheet12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r2="http://schemas.microsoft.com/office/spreadsheetml/2015/revision2" xmlns:mc="http://schemas.openxmlformats.org/markup-compatibility/2006">
  <sheetPr filterMode="false">
    <pageSetUpPr fitToPage="false"/>
  </sheetPr>
  <dimension ref="B2:J181"/>
  <sheetViews>
    <sheetView showFormulas="false" showGridLines="true" showRowColHeaders="true" showZeros="true" rightToLeft="false" tabSelected="false" showOutlineSymbols="true" defaultGridColor="true" view="normal" topLeftCell="A1" colorId="64" zoomScale="100" zoomScaleNormal="100" zoomScalePageLayoutView="100" workbookViewId="0">
      <selection pane="topLeft" activeCell="A1" activeCellId="0" sqref="A1"/>
    </sheetView>
  </sheetViews>
  <sheetFormatPr defaultColWidth="8.6796875" defaultRowHeight="15" zeroHeight="false" outlineLevelRow="0" outlineLevelCol="0"/>
  <cols>
    <col collapsed="false" customWidth="true" hidden="false" outlineLevel="0" max="1" min="1" style="0" width="3"/>
    <col collapsed="false" customWidth="true" hidden="false" outlineLevel="0" max="2" min="2" style="0" width="46"/>
    <col collapsed="false" customWidth="true" hidden="false" outlineLevel="0" max="3" min="3" style="0" width="30"/>
    <col collapsed="false" customWidth="true" hidden="false" outlineLevel="0" max="6" min="4" style="0" width="18"/>
    <col collapsed="false" customWidth="true" hidden="false" outlineLevel="0" max="7" min="7" style="0" width="44"/>
    <col collapsed="false" customWidth="true" hidden="false" outlineLevel="0" max="9" min="8" style="0" width="12"/>
    <col collapsed="false" customWidth="true" hidden="false" outlineLevel="0" max="10" min="10" style="0" width="18"/>
  </cols>
  <sheetData>
    <row r="2" customFormat="false" ht="17.35" hidden="false" customHeight="false" outlineLevel="0" collapsed="false">
      <c r="B2" s="1" t="s">
        <v>4</v>
      </c>
    </row>
    <row r="3" customFormat="false" ht="15" hidden="false" customHeight="false" outlineLevel="0" collapsed="false">
      <c r="B3" s="0" t="s">
        <v>5</v>
      </c>
    </row>
    <row r="4" customFormat="false" ht="15" hidden="false" customHeight="false" outlineLevel="0" collapsed="false">
      <c r="B4" s="0" t="s">
        <v>6</v>
      </c>
    </row>
    <row r="18" customFormat="false" ht="15" hidden="false" customHeight="false" outlineLevel="0" collapsed="false">
      <c r="B18" s="3" t="s">
        <v>7</v>
      </c>
    </row>
    <row r="19" customFormat="false" ht="15" hidden="false" customHeight="false" outlineLevel="0" collapsed="false">
      <c r="B19" s="4" t="s">
        <v>8</v>
      </c>
    </row>
    <row r="20" customFormat="false" ht="15" hidden="false" customHeight="false" outlineLevel="0" collapsed="false">
      <c r="B20" s="5" t="s">
        <v>9</v>
      </c>
    </row>
    <row r="21" customFormat="false" ht="15" hidden="false" customHeight="false" outlineLevel="0" collapsed="false">
      <c r="B21" s="6" t="s">
        <v>10</v>
      </c>
    </row>
    <row r="24" customFormat="false" ht="15" hidden="false" customHeight="false" outlineLevel="0" collapsed="false">
      <c r="B24" s="0" t="s">
        <v>11</v>
      </c>
      <c r="D24" s="3" t="s">
        <v>12</v>
      </c>
    </row>
    <row r="26" customFormat="false" ht="15" hidden="false" customHeight="false" outlineLevel="0" collapsed="false">
      <c r="B26" s="0" t="s">
        <v>13</v>
      </c>
      <c r="E26" s="7" t="n">
        <v>46204</v>
      </c>
    </row>
    <row r="28" customFormat="false" ht="15" hidden="false" customHeight="false" outlineLevel="0" collapsed="false">
      <c r="B28" s="0" t="s">
        <v>14</v>
      </c>
      <c r="J28" s="8" t="n">
        <v>19485400</v>
      </c>
    </row>
    <row r="29" customFormat="false" ht="15" hidden="false" customHeight="false" outlineLevel="0" collapsed="false">
      <c r="B29" s="0" t="s">
        <v>15</v>
      </c>
      <c r="J29" s="3" t="s">
        <v>16</v>
      </c>
    </row>
    <row r="31" customFormat="false" ht="15" hidden="false" customHeight="false" outlineLevel="0" collapsed="false">
      <c r="B31" s="0" t="s">
        <v>17</v>
      </c>
      <c r="F31" s="9" t="n">
        <v>0.0495</v>
      </c>
    </row>
    <row r="33" customFormat="false" ht="15" hidden="false" customHeight="false" outlineLevel="0" collapsed="false">
      <c r="B33" s="0" t="s">
        <v>18</v>
      </c>
      <c r="F33" s="9" t="n">
        <v>0.0325</v>
      </c>
    </row>
    <row r="35" customFormat="false" ht="15" hidden="false" customHeight="false" outlineLevel="0" collapsed="false">
      <c r="B35" s="0" t="s">
        <v>19</v>
      </c>
      <c r="F35" s="9" t="n">
        <v>0.6775</v>
      </c>
    </row>
    <row r="37" customFormat="false" ht="15" hidden="false" customHeight="false" outlineLevel="0" collapsed="false">
      <c r="B37" s="0" t="s">
        <v>20</v>
      </c>
      <c r="F37" s="9" t="n">
        <v>0.5037</v>
      </c>
    </row>
    <row r="39" customFormat="false" ht="15" hidden="false" customHeight="false" outlineLevel="0" collapsed="false">
      <c r="B39" s="0" t="s">
        <v>21</v>
      </c>
      <c r="F39" s="10" t="n">
        <f aca="false">F37*J28</f>
        <v>9814795.98</v>
      </c>
    </row>
    <row r="41" customFormat="false" ht="15" hidden="false" customHeight="false" outlineLevel="0" collapsed="false">
      <c r="B41" s="0" t="s">
        <v>22</v>
      </c>
      <c r="F41" s="10" t="n">
        <f aca="false">E74</f>
        <v>0</v>
      </c>
    </row>
    <row r="43" customFormat="false" ht="15" hidden="false" customHeight="false" outlineLevel="0" collapsed="false">
      <c r="B43" s="0" t="s">
        <v>23</v>
      </c>
      <c r="F43" s="10" t="n">
        <f aca="false">E88</f>
        <v>0</v>
      </c>
    </row>
    <row r="45" customFormat="false" ht="15" hidden="false" customHeight="false" outlineLevel="0" collapsed="false">
      <c r="B45" s="0" t="s">
        <v>24</v>
      </c>
      <c r="F45" s="10" t="n">
        <f aca="false">J74</f>
        <v>0</v>
      </c>
    </row>
    <row r="47" customFormat="false" ht="15" hidden="false" customHeight="false" outlineLevel="0" collapsed="false">
      <c r="B47" s="0" t="s">
        <v>25</v>
      </c>
      <c r="F47" s="10" t="n">
        <f aca="false">J88</f>
        <v>205104.49</v>
      </c>
    </row>
    <row r="49" customFormat="false" ht="15" hidden="false" customHeight="false" outlineLevel="0" collapsed="false">
      <c r="B49" s="0" t="s">
        <v>26</v>
      </c>
      <c r="F49" s="10" t="n">
        <f aca="false">E102</f>
        <v>62500</v>
      </c>
    </row>
    <row r="51" customFormat="false" ht="15" hidden="false" customHeight="false" outlineLevel="0" collapsed="false">
      <c r="B51" s="0" t="s">
        <v>27</v>
      </c>
      <c r="F51" s="10" t="n">
        <f aca="false">J102</f>
        <v>0</v>
      </c>
    </row>
    <row r="53" customFormat="false" ht="15" hidden="false" customHeight="false" outlineLevel="0" collapsed="false">
      <c r="B53" s="0" t="s">
        <v>28</v>
      </c>
      <c r="F53" s="10" t="n">
        <f aca="false">E115</f>
        <v>122118.13</v>
      </c>
    </row>
    <row r="55" customFormat="false" ht="15" hidden="false" customHeight="false" outlineLevel="0" collapsed="false">
      <c r="B55" s="0" t="s">
        <v>29</v>
      </c>
      <c r="F55" s="8" t="n">
        <v>10035458.2</v>
      </c>
    </row>
    <row r="56" customFormat="false" ht="15" hidden="false" customHeight="false" outlineLevel="0" collapsed="false">
      <c r="B56" s="0" t="s">
        <v>30</v>
      </c>
      <c r="F56" s="10" t="n">
        <f aca="false">F55-J115</f>
        <v>10035458.2</v>
      </c>
    </row>
    <row r="58" customFormat="false" ht="15" hidden="false" customHeight="false" outlineLevel="0" collapsed="false">
      <c r="B58" s="0" t="s">
        <v>31</v>
      </c>
      <c r="F58" s="10" t="n">
        <f aca="false">E129</f>
        <v>0</v>
      </c>
    </row>
    <row r="63" customFormat="false" ht="15" hidden="false" customHeight="false" outlineLevel="0" collapsed="false">
      <c r="B63" s="11" t="s">
        <v>32</v>
      </c>
      <c r="G63" s="11" t="s">
        <v>33</v>
      </c>
    </row>
    <row r="74" customFormat="false" ht="15" hidden="false" customHeight="false" outlineLevel="0" collapsed="false">
      <c r="B74" s="12" t="s">
        <v>34</v>
      </c>
      <c r="E74" s="13" t="n">
        <f aca="false">SUM(E64:E73)</f>
        <v>0</v>
      </c>
      <c r="G74" s="12" t="s">
        <v>34</v>
      </c>
      <c r="J74" s="13" t="n">
        <f aca="false">SUM(J64:J73)</f>
        <v>0</v>
      </c>
    </row>
    <row r="77" customFormat="false" ht="15" hidden="false" customHeight="false" outlineLevel="0" collapsed="false">
      <c r="B77" s="11" t="s">
        <v>35</v>
      </c>
      <c r="G77" s="11" t="s">
        <v>36</v>
      </c>
    </row>
    <row r="78" customFormat="false" ht="15" hidden="false" customHeight="false" outlineLevel="0" collapsed="false">
      <c r="G78" s="0" t="s">
        <v>106</v>
      </c>
      <c r="J78" s="14" t="n">
        <v>25816.59</v>
      </c>
    </row>
    <row r="79" customFormat="false" ht="15" hidden="false" customHeight="false" outlineLevel="0" collapsed="false">
      <c r="G79" s="0" t="s">
        <v>142</v>
      </c>
      <c r="J79" s="14" t="n">
        <v>35571.87</v>
      </c>
    </row>
    <row r="80" customFormat="false" ht="15" hidden="false" customHeight="false" outlineLevel="0" collapsed="false">
      <c r="G80" s="0" t="s">
        <v>107</v>
      </c>
      <c r="J80" s="14" t="n">
        <v>54833.23</v>
      </c>
    </row>
    <row r="81" customFormat="false" ht="15" hidden="false" customHeight="false" outlineLevel="0" collapsed="false">
      <c r="G81" s="0" t="s">
        <v>143</v>
      </c>
      <c r="J81" s="14" t="n">
        <v>53453.72</v>
      </c>
    </row>
    <row r="82" customFormat="false" ht="15" hidden="false" customHeight="false" outlineLevel="0" collapsed="false">
      <c r="G82" s="0" t="s">
        <v>144</v>
      </c>
      <c r="J82" s="14" t="n">
        <v>35429.08</v>
      </c>
    </row>
    <row r="88" customFormat="false" ht="15" hidden="false" customHeight="false" outlineLevel="0" collapsed="false">
      <c r="B88" s="12" t="s">
        <v>34</v>
      </c>
      <c r="E88" s="13" t="n">
        <f aca="false">SUM(E78:E87)</f>
        <v>0</v>
      </c>
      <c r="G88" s="12" t="s">
        <v>34</v>
      </c>
      <c r="J88" s="13" t="n">
        <f aca="false">SUM(J78:J87)</f>
        <v>205104.49</v>
      </c>
    </row>
    <row r="91" customFormat="false" ht="15" hidden="false" customHeight="false" outlineLevel="0" collapsed="false">
      <c r="B91" s="11" t="s">
        <v>40</v>
      </c>
      <c r="G91" s="11" t="s">
        <v>41</v>
      </c>
    </row>
    <row r="92" customFormat="false" ht="15" hidden="false" customHeight="false" outlineLevel="0" collapsed="false">
      <c r="B92" s="0" t="s">
        <v>42</v>
      </c>
      <c r="E92" s="14" t="n">
        <v>9800</v>
      </c>
    </row>
    <row r="93" customFormat="false" ht="15" hidden="false" customHeight="false" outlineLevel="0" collapsed="false">
      <c r="B93" s="0" t="s">
        <v>43</v>
      </c>
      <c r="E93" s="14" t="n">
        <v>38500</v>
      </c>
    </row>
    <row r="94" customFormat="false" ht="15" hidden="false" customHeight="false" outlineLevel="0" collapsed="false">
      <c r="B94" s="0" t="s">
        <v>44</v>
      </c>
      <c r="E94" s="14" t="n">
        <v>14200</v>
      </c>
    </row>
    <row r="102" customFormat="false" ht="15" hidden="false" customHeight="false" outlineLevel="0" collapsed="false">
      <c r="B102" s="12" t="s">
        <v>34</v>
      </c>
      <c r="E102" s="13" t="n">
        <f aca="false">SUM(E92:E101)</f>
        <v>62500</v>
      </c>
      <c r="G102" s="12" t="s">
        <v>34</v>
      </c>
      <c r="J102" s="13" t="n">
        <f aca="false">SUM(J92:J101)</f>
        <v>0</v>
      </c>
    </row>
    <row r="105" customFormat="false" ht="15" hidden="false" customHeight="false" outlineLevel="0" collapsed="false">
      <c r="B105" s="11" t="s">
        <v>45</v>
      </c>
      <c r="G105" s="11" t="s">
        <v>46</v>
      </c>
    </row>
    <row r="106" customFormat="false" ht="15" hidden="false" customHeight="false" outlineLevel="0" collapsed="false">
      <c r="B106" s="0" t="s">
        <v>145</v>
      </c>
      <c r="E106" s="14" t="n">
        <v>32038.86</v>
      </c>
    </row>
    <row r="107" customFormat="false" ht="15" hidden="false" customHeight="false" outlineLevel="0" collapsed="false">
      <c r="B107" s="0" t="s">
        <v>146</v>
      </c>
      <c r="E107" s="14" t="n">
        <v>34684.33</v>
      </c>
    </row>
    <row r="108" customFormat="false" ht="15" hidden="false" customHeight="false" outlineLevel="0" collapsed="false">
      <c r="B108" s="0" t="s">
        <v>147</v>
      </c>
      <c r="E108" s="14" t="n">
        <v>19345.24</v>
      </c>
    </row>
    <row r="109" customFormat="false" ht="15" hidden="false" customHeight="false" outlineLevel="0" collapsed="false">
      <c r="B109" s="0" t="s">
        <v>148</v>
      </c>
      <c r="E109" s="14" t="n">
        <v>36049.7</v>
      </c>
    </row>
    <row r="115" customFormat="false" ht="15" hidden="false" customHeight="false" outlineLevel="0" collapsed="false">
      <c r="B115" s="12" t="s">
        <v>34</v>
      </c>
      <c r="E115" s="13" t="n">
        <f aca="false">SUM(E106:E114)</f>
        <v>122118.13</v>
      </c>
      <c r="G115" s="12" t="s">
        <v>34</v>
      </c>
      <c r="J115" s="13" t="n">
        <f aca="false">SUM(J106:J114)</f>
        <v>0</v>
      </c>
    </row>
    <row r="118" customFormat="false" ht="15" hidden="false" customHeight="false" outlineLevel="0" collapsed="false">
      <c r="B118" s="11" t="s">
        <v>50</v>
      </c>
    </row>
    <row r="129" customFormat="false" ht="15" hidden="false" customHeight="false" outlineLevel="0" collapsed="false">
      <c r="B129" s="12" t="s">
        <v>34</v>
      </c>
      <c r="E129" s="13" t="n">
        <f aca="false">SUM(E119:E128)</f>
        <v>0</v>
      </c>
    </row>
    <row r="132" customFormat="false" ht="17.35" hidden="false" customHeight="false" outlineLevel="0" collapsed="false">
      <c r="B132" s="1" t="s">
        <v>51</v>
      </c>
    </row>
    <row r="135" customFormat="false" ht="15" hidden="false" customHeight="false" outlineLevel="0" collapsed="false">
      <c r="G135" s="12" t="s">
        <v>52</v>
      </c>
    </row>
    <row r="136" customFormat="false" ht="15" hidden="false" customHeight="false" outlineLevel="0" collapsed="false">
      <c r="C136" s="0" t="s">
        <v>53</v>
      </c>
      <c r="D136" s="4" t="str">
        <f aca="false">D24</f>
        <v>POTENGI</v>
      </c>
      <c r="G136" s="15" t="s">
        <v>54</v>
      </c>
      <c r="J136" s="8" t="n">
        <v>863534.82</v>
      </c>
    </row>
    <row r="137" customFormat="false" ht="15" hidden="false" customHeight="false" outlineLevel="0" collapsed="false">
      <c r="C137" s="0" t="s">
        <v>55</v>
      </c>
      <c r="D137" s="10" t="n">
        <f aca="false">J28</f>
        <v>19485400</v>
      </c>
      <c r="G137" s="15" t="s">
        <v>56</v>
      </c>
      <c r="J137" s="8" t="n">
        <v>693252.98</v>
      </c>
    </row>
    <row r="138" customFormat="false" ht="15" hidden="false" customHeight="false" outlineLevel="0" collapsed="false">
      <c r="C138" s="0" t="s">
        <v>15</v>
      </c>
      <c r="D138" s="4" t="str">
        <f aca="false">J29</f>
        <v>Orçamento executivo</v>
      </c>
      <c r="G138" s="15" t="s">
        <v>57</v>
      </c>
      <c r="J138" s="10" t="n">
        <f aca="false">J137-J136</f>
        <v>-170281.84</v>
      </c>
    </row>
    <row r="139" customFormat="false" ht="15" hidden="false" customHeight="false" outlineLevel="0" collapsed="false">
      <c r="C139" s="0" t="s">
        <v>58</v>
      </c>
      <c r="D139" s="16" t="n">
        <f aca="false">E26</f>
        <v>46204</v>
      </c>
      <c r="G139" s="15" t="s">
        <v>59</v>
      </c>
    </row>
    <row r="140" customFormat="false" ht="28.35" hidden="false" customHeight="false" outlineLevel="0" collapsed="false">
      <c r="C140" s="0" t="s">
        <v>60</v>
      </c>
      <c r="D140" s="17" t="n">
        <f aca="false">F31</f>
        <v>0.0495</v>
      </c>
      <c r="G140" s="20" t="s">
        <v>129</v>
      </c>
    </row>
    <row r="141" customFormat="false" ht="15" hidden="false" customHeight="false" outlineLevel="0" collapsed="false">
      <c r="C141" s="0" t="s">
        <v>61</v>
      </c>
      <c r="D141" s="17" t="n">
        <f aca="false">F33</f>
        <v>0.0325</v>
      </c>
    </row>
    <row r="142" customFormat="false" ht="15" hidden="false" customHeight="false" outlineLevel="0" collapsed="false">
      <c r="C142" s="0" t="s">
        <v>62</v>
      </c>
      <c r="D142" s="17" t="n">
        <f aca="false">F35</f>
        <v>0.6775</v>
      </c>
    </row>
    <row r="143" customFormat="false" ht="15" hidden="false" customHeight="false" outlineLevel="0" collapsed="false">
      <c r="C143" s="0" t="s">
        <v>63</v>
      </c>
      <c r="D143" s="17" t="n">
        <f aca="false">F37</f>
        <v>0.5037</v>
      </c>
    </row>
    <row r="145" customFormat="false" ht="15" hidden="false" customHeight="false" outlineLevel="0" collapsed="false">
      <c r="B145" s="0" t="s">
        <v>64</v>
      </c>
      <c r="C145" s="0" t="s">
        <v>65</v>
      </c>
      <c r="D145" s="10" t="n">
        <f aca="false">F39</f>
        <v>9814795.98</v>
      </c>
      <c r="E145" s="18" t="n">
        <f aca="false">D145/$D$137</f>
        <v>0.5037</v>
      </c>
    </row>
    <row r="146" customFormat="false" ht="15" hidden="false" customHeight="false" outlineLevel="0" collapsed="false">
      <c r="B146" s="0" t="s">
        <v>66</v>
      </c>
      <c r="C146" s="0" t="s">
        <v>32</v>
      </c>
      <c r="D146" s="10" t="n">
        <f aca="false">F41</f>
        <v>0</v>
      </c>
      <c r="E146" s="18" t="n">
        <f aca="false">D146/$D$137</f>
        <v>0</v>
      </c>
    </row>
    <row r="147" customFormat="false" ht="15" hidden="false" customHeight="false" outlineLevel="0" collapsed="false">
      <c r="B147" s="0" t="s">
        <v>67</v>
      </c>
      <c r="C147" s="0" t="s">
        <v>35</v>
      </c>
      <c r="D147" s="10" t="n">
        <f aca="false">F43</f>
        <v>0</v>
      </c>
      <c r="E147" s="18" t="n">
        <f aca="false">D147/$D$137</f>
        <v>0</v>
      </c>
    </row>
    <row r="148" customFormat="false" ht="15" hidden="false" customHeight="false" outlineLevel="0" collapsed="false">
      <c r="B148" s="0" t="s">
        <v>68</v>
      </c>
      <c r="C148" s="0" t="s">
        <v>33</v>
      </c>
      <c r="D148" s="10" t="n">
        <f aca="false">F45</f>
        <v>0</v>
      </c>
      <c r="E148" s="18" t="n">
        <f aca="false">D148/$D$137</f>
        <v>0</v>
      </c>
    </row>
    <row r="149" customFormat="false" ht="15" hidden="false" customHeight="false" outlineLevel="0" collapsed="false">
      <c r="B149" s="0" t="s">
        <v>69</v>
      </c>
      <c r="C149" s="0" t="s">
        <v>36</v>
      </c>
      <c r="D149" s="10" t="n">
        <f aca="false">F47</f>
        <v>205104.49</v>
      </c>
      <c r="E149" s="18" t="n">
        <f aca="false">D149/$D$137</f>
        <v>0.0105260600244285</v>
      </c>
    </row>
    <row r="150" customFormat="false" ht="15" hidden="false" customHeight="false" outlineLevel="0" collapsed="false">
      <c r="B150" s="0" t="s">
        <v>70</v>
      </c>
      <c r="C150" s="0" t="s">
        <v>71</v>
      </c>
      <c r="D150" s="10" t="n">
        <f aca="false">F49</f>
        <v>62500</v>
      </c>
      <c r="E150" s="18" t="n">
        <f aca="false">D150/$D$137</f>
        <v>0.00320752974021575</v>
      </c>
    </row>
    <row r="151" customFormat="false" ht="15" hidden="false" customHeight="false" outlineLevel="0" collapsed="false">
      <c r="B151" s="0" t="s">
        <v>72</v>
      </c>
      <c r="C151" s="0" t="s">
        <v>73</v>
      </c>
      <c r="D151" s="10" t="n">
        <f aca="false">F51</f>
        <v>0</v>
      </c>
      <c r="E151" s="18" t="n">
        <f aca="false">D151/$D$137</f>
        <v>0</v>
      </c>
    </row>
    <row r="152" customFormat="false" ht="15" hidden="false" customHeight="false" outlineLevel="0" collapsed="false">
      <c r="B152" s="0" t="s">
        <v>74</v>
      </c>
      <c r="C152" s="0" t="s">
        <v>45</v>
      </c>
      <c r="D152" s="10" t="n">
        <f aca="false">F53</f>
        <v>122118.13</v>
      </c>
      <c r="E152" s="18" t="n">
        <f aca="false">D152/$D$137</f>
        <v>0.00626716054071253</v>
      </c>
    </row>
    <row r="153" customFormat="false" ht="15" hidden="false" customHeight="false" outlineLevel="0" collapsed="false">
      <c r="B153" s="0" t="s">
        <v>75</v>
      </c>
      <c r="C153" s="0" t="s">
        <v>76</v>
      </c>
      <c r="D153" s="10" t="n">
        <f aca="false">F56</f>
        <v>10035458.2</v>
      </c>
      <c r="E153" s="18" t="n">
        <f aca="false">D153/$D$137</f>
        <v>0.515024490131072</v>
      </c>
    </row>
    <row r="154" customFormat="false" ht="15" hidden="false" customHeight="false" outlineLevel="0" collapsed="false">
      <c r="B154" s="0" t="s">
        <v>77</v>
      </c>
      <c r="C154" s="0" t="s">
        <v>50</v>
      </c>
      <c r="D154" s="10" t="n">
        <f aca="false">F58</f>
        <v>0</v>
      </c>
      <c r="E154" s="18" t="n">
        <f aca="false">D154/$D$137</f>
        <v>0</v>
      </c>
    </row>
    <row r="155" customFormat="false" ht="15" hidden="false" customHeight="false" outlineLevel="0" collapsed="false">
      <c r="C155" s="12" t="s">
        <v>78</v>
      </c>
      <c r="D155" s="13" t="n">
        <f aca="false">D145+D146+D147+D148+D149+D150+D151-D152-D153-D154</f>
        <v>-75175.8599999994</v>
      </c>
      <c r="E155" s="19" t="n">
        <f aca="false">D155/D137</f>
        <v>-0.0038580609071407</v>
      </c>
    </row>
    <row r="156" customFormat="false" ht="15" hidden="false" customHeight="false" outlineLevel="0" collapsed="false">
      <c r="C156" s="0" t="s">
        <v>79</v>
      </c>
      <c r="D156" s="10" t="n">
        <f aca="false">JUN26!D155</f>
        <v>-60291.7780000009</v>
      </c>
      <c r="E156" s="17" t="n">
        <f aca="false">JUN26!E155</f>
        <v>-0.0031067250446492</v>
      </c>
    </row>
    <row r="160" customFormat="false" ht="15" hidden="false" customHeight="false" outlineLevel="0" collapsed="false">
      <c r="B160" s="12" t="s">
        <v>80</v>
      </c>
    </row>
    <row r="162" customFormat="false" ht="15" hidden="false" customHeight="false" outlineLevel="0" collapsed="false">
      <c r="B162" s="12" t="s">
        <v>81</v>
      </c>
    </row>
    <row r="163" customFormat="false" ht="15" hidden="false" customHeight="false" outlineLevel="0" collapsed="false">
      <c r="B163" s="0" t="s">
        <v>82</v>
      </c>
    </row>
    <row r="164" customFormat="false" ht="15" hidden="false" customHeight="false" outlineLevel="0" collapsed="false">
      <c r="B164" s="12" t="s">
        <v>83</v>
      </c>
    </row>
    <row r="165" customFormat="false" ht="15" hidden="false" customHeight="false" outlineLevel="0" collapsed="false">
      <c r="B165" s="0" t="s">
        <v>84</v>
      </c>
    </row>
    <row r="166" customFormat="false" ht="15" hidden="false" customHeight="false" outlineLevel="0" collapsed="false">
      <c r="B166" s="12" t="s">
        <v>85</v>
      </c>
    </row>
    <row r="167" customFormat="false" ht="15" hidden="false" customHeight="false" outlineLevel="0" collapsed="false">
      <c r="B167" s="0" t="s">
        <v>86</v>
      </c>
    </row>
    <row r="168" customFormat="false" ht="15" hidden="false" customHeight="false" outlineLevel="0" collapsed="false">
      <c r="B168" s="12" t="s">
        <v>87</v>
      </c>
    </row>
    <row r="169" customFormat="false" ht="15" hidden="false" customHeight="false" outlineLevel="0" collapsed="false">
      <c r="B169" s="0" t="s">
        <v>88</v>
      </c>
    </row>
    <row r="170" customFormat="false" ht="15" hidden="false" customHeight="false" outlineLevel="0" collapsed="false">
      <c r="B170" s="12" t="s">
        <v>89</v>
      </c>
    </row>
    <row r="171" customFormat="false" ht="15" hidden="false" customHeight="false" outlineLevel="0" collapsed="false">
      <c r="B171" s="0" t="s">
        <v>90</v>
      </c>
    </row>
    <row r="172" customFormat="false" ht="15" hidden="false" customHeight="false" outlineLevel="0" collapsed="false">
      <c r="B172" s="12" t="s">
        <v>91</v>
      </c>
    </row>
    <row r="173" customFormat="false" ht="15" hidden="false" customHeight="false" outlineLevel="0" collapsed="false">
      <c r="B173" s="0" t="s">
        <v>92</v>
      </c>
    </row>
    <row r="174" customFormat="false" ht="15" hidden="false" customHeight="false" outlineLevel="0" collapsed="false">
      <c r="B174" s="12" t="s">
        <v>93</v>
      </c>
    </row>
    <row r="175" customFormat="false" ht="15" hidden="false" customHeight="false" outlineLevel="0" collapsed="false">
      <c r="B175" s="0" t="s">
        <v>94</v>
      </c>
    </row>
    <row r="176" customFormat="false" ht="15" hidden="false" customHeight="false" outlineLevel="0" collapsed="false">
      <c r="B176" s="12" t="s">
        <v>95</v>
      </c>
    </row>
    <row r="177" customFormat="false" ht="15" hidden="false" customHeight="false" outlineLevel="0" collapsed="false">
      <c r="B177" s="0" t="s">
        <v>96</v>
      </c>
    </row>
    <row r="178" customFormat="false" ht="15" hidden="false" customHeight="false" outlineLevel="0" collapsed="false">
      <c r="B178" s="12" t="s">
        <v>97</v>
      </c>
    </row>
    <row r="179" customFormat="false" ht="15" hidden="false" customHeight="false" outlineLevel="0" collapsed="false">
      <c r="B179" s="0" t="s">
        <v>98</v>
      </c>
    </row>
    <row r="180" customFormat="false" ht="15" hidden="false" customHeight="false" outlineLevel="0" collapsed="false">
      <c r="B180" s="12" t="s">
        <v>99</v>
      </c>
    </row>
    <row r="181" customFormat="false" ht="15" hidden="false" customHeight="false" outlineLevel="0" collapsed="false">
      <c r="B181" s="0" t="s">
        <v>100</v>
      </c>
    </row>
  </sheetData>
  <printOptions headings="false" gridLines="false" gridLinesSet="true" horizontalCentered="false" verticalCentered="false"/>
  <pageMargins left="0.75" right="0.75" top="1" bottom="1" header="0.511811023622047" footer="0.511811023622047"/>
  <pageSetup paperSize="9" scale="100" fitToWidth="1" fitToHeight="1" pageOrder="downThenOver" orientation="portrait" blackAndWhite="false" draft="false" cellComments="none" horizontalDpi="300" verticalDpi="300" copies="1"/>
  <headerFooter differentFirst="false" differentOddEven="false">
    <oddHeader/>
    <oddFooter/>
  </headerFooter>
</worksheet>
</file>

<file path=xl/worksheets/sheet13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r2="http://schemas.microsoft.com/office/spreadsheetml/2015/revision2" xmlns:mc="http://schemas.openxmlformats.org/markup-compatibility/2006">
  <sheetPr filterMode="false">
    <pageSetUpPr fitToPage="false"/>
  </sheetPr>
  <dimension ref="B2:J181"/>
  <sheetViews>
    <sheetView showFormulas="false" showGridLines="true" showRowColHeaders="true" showZeros="true" rightToLeft="false" tabSelected="false" showOutlineSymbols="true" defaultGridColor="true" view="normal" topLeftCell="A1" colorId="64" zoomScale="100" zoomScaleNormal="100" zoomScalePageLayoutView="100" workbookViewId="0">
      <selection pane="topLeft" activeCell="A1" activeCellId="0" sqref="A1"/>
    </sheetView>
  </sheetViews>
  <sheetFormatPr defaultColWidth="8.6796875" defaultRowHeight="15" zeroHeight="false" outlineLevelRow="0" outlineLevelCol="0"/>
  <cols>
    <col collapsed="false" customWidth="true" hidden="false" outlineLevel="0" max="1" min="1" style="0" width="3"/>
    <col collapsed="false" customWidth="true" hidden="false" outlineLevel="0" max="2" min="2" style="0" width="46"/>
    <col collapsed="false" customWidth="true" hidden="false" outlineLevel="0" max="3" min="3" style="0" width="30"/>
    <col collapsed="false" customWidth="true" hidden="false" outlineLevel="0" max="6" min="4" style="0" width="18"/>
    <col collapsed="false" customWidth="true" hidden="false" outlineLevel="0" max="7" min="7" style="0" width="44"/>
    <col collapsed="false" customWidth="true" hidden="false" outlineLevel="0" max="9" min="8" style="0" width="12"/>
    <col collapsed="false" customWidth="true" hidden="false" outlineLevel="0" max="10" min="10" style="0" width="18"/>
  </cols>
  <sheetData>
    <row r="2" customFormat="false" ht="17.35" hidden="false" customHeight="false" outlineLevel="0" collapsed="false">
      <c r="B2" s="1" t="s">
        <v>4</v>
      </c>
    </row>
    <row r="3" customFormat="false" ht="15" hidden="false" customHeight="false" outlineLevel="0" collapsed="false">
      <c r="B3" s="0" t="s">
        <v>5</v>
      </c>
    </row>
    <row r="4" customFormat="false" ht="15" hidden="false" customHeight="false" outlineLevel="0" collapsed="false">
      <c r="B4" s="0" t="s">
        <v>6</v>
      </c>
    </row>
    <row r="18" customFormat="false" ht="15" hidden="false" customHeight="false" outlineLevel="0" collapsed="false">
      <c r="B18" s="3" t="s">
        <v>7</v>
      </c>
    </row>
    <row r="19" customFormat="false" ht="15" hidden="false" customHeight="false" outlineLevel="0" collapsed="false">
      <c r="B19" s="4" t="s">
        <v>8</v>
      </c>
    </row>
    <row r="20" customFormat="false" ht="15" hidden="false" customHeight="false" outlineLevel="0" collapsed="false">
      <c r="B20" s="5" t="s">
        <v>9</v>
      </c>
    </row>
    <row r="21" customFormat="false" ht="15" hidden="false" customHeight="false" outlineLevel="0" collapsed="false">
      <c r="B21" s="6" t="s">
        <v>10</v>
      </c>
    </row>
    <row r="24" customFormat="false" ht="15" hidden="false" customHeight="false" outlineLevel="0" collapsed="false">
      <c r="B24" s="0" t="s">
        <v>11</v>
      </c>
      <c r="D24" s="3" t="s">
        <v>12</v>
      </c>
    </row>
    <row r="26" customFormat="false" ht="15" hidden="false" customHeight="false" outlineLevel="0" collapsed="false">
      <c r="B26" s="0" t="s">
        <v>13</v>
      </c>
      <c r="E26" s="7" t="n">
        <v>46235</v>
      </c>
    </row>
    <row r="28" customFormat="false" ht="15" hidden="false" customHeight="false" outlineLevel="0" collapsed="false">
      <c r="B28" s="0" t="s">
        <v>14</v>
      </c>
      <c r="J28" s="8" t="n">
        <v>19563940</v>
      </c>
    </row>
    <row r="29" customFormat="false" ht="15" hidden="false" customHeight="false" outlineLevel="0" collapsed="false">
      <c r="B29" s="0" t="s">
        <v>15</v>
      </c>
      <c r="J29" s="3" t="s">
        <v>16</v>
      </c>
    </row>
    <row r="31" customFormat="false" ht="15" hidden="false" customHeight="false" outlineLevel="0" collapsed="false">
      <c r="B31" s="0" t="s">
        <v>17</v>
      </c>
      <c r="F31" s="9" t="n">
        <v>0.0478</v>
      </c>
    </row>
    <row r="33" customFormat="false" ht="15" hidden="false" customHeight="false" outlineLevel="0" collapsed="false">
      <c r="B33" s="0" t="s">
        <v>18</v>
      </c>
      <c r="F33" s="9" t="n">
        <v>0.0465</v>
      </c>
    </row>
    <row r="35" customFormat="false" ht="15" hidden="false" customHeight="false" outlineLevel="0" collapsed="false">
      <c r="B35" s="0" t="s">
        <v>19</v>
      </c>
      <c r="F35" s="9" t="n">
        <v>0.7253</v>
      </c>
    </row>
    <row r="37" customFormat="false" ht="15" hidden="false" customHeight="false" outlineLevel="0" collapsed="false">
      <c r="B37" s="0" t="s">
        <v>20</v>
      </c>
      <c r="F37" s="9" t="n">
        <v>0.5502</v>
      </c>
    </row>
    <row r="39" customFormat="false" ht="15" hidden="false" customHeight="false" outlineLevel="0" collapsed="false">
      <c r="B39" s="0" t="s">
        <v>21</v>
      </c>
      <c r="F39" s="10" t="n">
        <f aca="false">F37*J28</f>
        <v>10764079.788</v>
      </c>
    </row>
    <row r="41" customFormat="false" ht="15" hidden="false" customHeight="false" outlineLevel="0" collapsed="false">
      <c r="B41" s="0" t="s">
        <v>22</v>
      </c>
      <c r="F41" s="10" t="n">
        <f aca="false">E74</f>
        <v>0</v>
      </c>
    </row>
    <row r="43" customFormat="false" ht="15" hidden="false" customHeight="false" outlineLevel="0" collapsed="false">
      <c r="B43" s="0" t="s">
        <v>23</v>
      </c>
      <c r="F43" s="10" t="n">
        <f aca="false">E88</f>
        <v>0</v>
      </c>
    </row>
    <row r="45" customFormat="false" ht="15" hidden="false" customHeight="false" outlineLevel="0" collapsed="false">
      <c r="B45" s="0" t="s">
        <v>24</v>
      </c>
      <c r="F45" s="10" t="n">
        <f aca="false">J74</f>
        <v>0</v>
      </c>
    </row>
    <row r="47" customFormat="false" ht="15" hidden="false" customHeight="false" outlineLevel="0" collapsed="false">
      <c r="B47" s="0" t="s">
        <v>25</v>
      </c>
      <c r="F47" s="10" t="n">
        <f aca="false">J88</f>
        <v>198130.46</v>
      </c>
    </row>
    <row r="49" customFormat="false" ht="15" hidden="false" customHeight="false" outlineLevel="0" collapsed="false">
      <c r="B49" s="0" t="s">
        <v>26</v>
      </c>
      <c r="F49" s="10" t="n">
        <f aca="false">E102</f>
        <v>62500</v>
      </c>
    </row>
    <row r="51" customFormat="false" ht="15" hidden="false" customHeight="false" outlineLevel="0" collapsed="false">
      <c r="B51" s="0" t="s">
        <v>27</v>
      </c>
      <c r="F51" s="10" t="n">
        <f aca="false">J102</f>
        <v>0</v>
      </c>
    </row>
    <row r="53" customFormat="false" ht="15" hidden="false" customHeight="false" outlineLevel="0" collapsed="false">
      <c r="B53" s="0" t="s">
        <v>28</v>
      </c>
      <c r="F53" s="10" t="n">
        <f aca="false">E115</f>
        <v>224958.36</v>
      </c>
    </row>
    <row r="55" customFormat="false" ht="15" hidden="false" customHeight="false" outlineLevel="0" collapsed="false">
      <c r="B55" s="0" t="s">
        <v>29</v>
      </c>
      <c r="F55" s="8" t="n">
        <v>10894703.97</v>
      </c>
    </row>
    <row r="56" customFormat="false" ht="15" hidden="false" customHeight="false" outlineLevel="0" collapsed="false">
      <c r="B56" s="0" t="s">
        <v>30</v>
      </c>
      <c r="F56" s="10" t="n">
        <f aca="false">F55-J115</f>
        <v>10894703.97</v>
      </c>
    </row>
    <row r="58" customFormat="false" ht="15" hidden="false" customHeight="false" outlineLevel="0" collapsed="false">
      <c r="B58" s="0" t="s">
        <v>31</v>
      </c>
      <c r="F58" s="10" t="n">
        <f aca="false">E129</f>
        <v>0</v>
      </c>
    </row>
    <row r="63" customFormat="false" ht="15" hidden="false" customHeight="false" outlineLevel="0" collapsed="false">
      <c r="B63" s="11" t="s">
        <v>32</v>
      </c>
      <c r="G63" s="11" t="s">
        <v>33</v>
      </c>
    </row>
    <row r="74" customFormat="false" ht="15" hidden="false" customHeight="false" outlineLevel="0" collapsed="false">
      <c r="B74" s="12" t="s">
        <v>34</v>
      </c>
      <c r="E74" s="13" t="n">
        <f aca="false">SUM(E64:E73)</f>
        <v>0</v>
      </c>
      <c r="G74" s="12" t="s">
        <v>34</v>
      </c>
      <c r="J74" s="13" t="n">
        <f aca="false">SUM(J64:J73)</f>
        <v>0</v>
      </c>
    </row>
    <row r="77" customFormat="false" ht="15" hidden="false" customHeight="false" outlineLevel="0" collapsed="false">
      <c r="B77" s="11" t="s">
        <v>35</v>
      </c>
      <c r="G77" s="11" t="s">
        <v>36</v>
      </c>
    </row>
    <row r="78" customFormat="false" ht="15" hidden="false" customHeight="false" outlineLevel="0" collapsed="false">
      <c r="G78" s="0" t="s">
        <v>106</v>
      </c>
      <c r="J78" s="14" t="n">
        <v>47060.3</v>
      </c>
    </row>
    <row r="79" customFormat="false" ht="15" hidden="false" customHeight="false" outlineLevel="0" collapsed="false">
      <c r="G79" s="0" t="s">
        <v>142</v>
      </c>
      <c r="J79" s="14" t="n">
        <v>51044.1</v>
      </c>
    </row>
    <row r="80" customFormat="false" ht="15" hidden="false" customHeight="false" outlineLevel="0" collapsed="false">
      <c r="G80" s="0" t="s">
        <v>107</v>
      </c>
      <c r="J80" s="14" t="n">
        <v>35413.88</v>
      </c>
    </row>
    <row r="81" customFormat="false" ht="15" hidden="false" customHeight="false" outlineLevel="0" collapsed="false">
      <c r="G81" s="0" t="s">
        <v>143</v>
      </c>
      <c r="J81" s="14" t="n">
        <v>30485.26</v>
      </c>
    </row>
    <row r="82" customFormat="false" ht="15" hidden="false" customHeight="false" outlineLevel="0" collapsed="false">
      <c r="G82" s="0" t="s">
        <v>144</v>
      </c>
      <c r="J82" s="14" t="n">
        <v>34126.92</v>
      </c>
    </row>
    <row r="88" customFormat="false" ht="15" hidden="false" customHeight="false" outlineLevel="0" collapsed="false">
      <c r="B88" s="12" t="s">
        <v>34</v>
      </c>
      <c r="E88" s="13" t="n">
        <f aca="false">SUM(E78:E87)</f>
        <v>0</v>
      </c>
      <c r="G88" s="12" t="s">
        <v>34</v>
      </c>
      <c r="J88" s="13" t="n">
        <f aca="false">SUM(J78:J87)</f>
        <v>198130.46</v>
      </c>
    </row>
    <row r="91" customFormat="false" ht="15" hidden="false" customHeight="false" outlineLevel="0" collapsed="false">
      <c r="B91" s="11" t="s">
        <v>40</v>
      </c>
      <c r="G91" s="11" t="s">
        <v>41</v>
      </c>
    </row>
    <row r="92" customFormat="false" ht="15" hidden="false" customHeight="false" outlineLevel="0" collapsed="false">
      <c r="B92" s="0" t="s">
        <v>42</v>
      </c>
      <c r="E92" s="14" t="n">
        <v>9800</v>
      </c>
    </row>
    <row r="93" customFormat="false" ht="15" hidden="false" customHeight="false" outlineLevel="0" collapsed="false">
      <c r="B93" s="0" t="s">
        <v>43</v>
      </c>
      <c r="E93" s="14" t="n">
        <v>38500</v>
      </c>
    </row>
    <row r="94" customFormat="false" ht="15" hidden="false" customHeight="false" outlineLevel="0" collapsed="false">
      <c r="B94" s="0" t="s">
        <v>44</v>
      </c>
      <c r="E94" s="14" t="n">
        <v>14200</v>
      </c>
    </row>
    <row r="102" customFormat="false" ht="15" hidden="false" customHeight="false" outlineLevel="0" collapsed="false">
      <c r="B102" s="12" t="s">
        <v>34</v>
      </c>
      <c r="E102" s="13" t="n">
        <f aca="false">SUM(E92:E101)</f>
        <v>62500</v>
      </c>
      <c r="G102" s="12" t="s">
        <v>34</v>
      </c>
      <c r="J102" s="13" t="n">
        <f aca="false">SUM(J92:J101)</f>
        <v>0</v>
      </c>
    </row>
    <row r="105" customFormat="false" ht="15" hidden="false" customHeight="false" outlineLevel="0" collapsed="false">
      <c r="B105" s="11" t="s">
        <v>45</v>
      </c>
      <c r="G105" s="11" t="s">
        <v>46</v>
      </c>
    </row>
    <row r="106" customFormat="false" ht="15" hidden="false" customHeight="false" outlineLevel="0" collapsed="false">
      <c r="B106" s="0" t="s">
        <v>149</v>
      </c>
      <c r="E106" s="14" t="n">
        <v>55640.67</v>
      </c>
    </row>
    <row r="107" customFormat="false" ht="15" hidden="false" customHeight="false" outlineLevel="0" collapsed="false">
      <c r="B107" s="0" t="s">
        <v>150</v>
      </c>
      <c r="E107" s="14" t="n">
        <v>40232.73</v>
      </c>
    </row>
    <row r="108" customFormat="false" ht="15" hidden="false" customHeight="false" outlineLevel="0" collapsed="false">
      <c r="B108" s="0" t="s">
        <v>151</v>
      </c>
      <c r="E108" s="14" t="n">
        <v>43950.11</v>
      </c>
    </row>
    <row r="109" customFormat="false" ht="15" hidden="false" customHeight="false" outlineLevel="0" collapsed="false">
      <c r="B109" s="0" t="s">
        <v>152</v>
      </c>
      <c r="E109" s="14" t="n">
        <v>85134.85</v>
      </c>
    </row>
    <row r="115" customFormat="false" ht="15" hidden="false" customHeight="false" outlineLevel="0" collapsed="false">
      <c r="B115" s="12" t="s">
        <v>34</v>
      </c>
      <c r="E115" s="13" t="n">
        <f aca="false">SUM(E106:E114)</f>
        <v>224958.36</v>
      </c>
      <c r="G115" s="12" t="s">
        <v>34</v>
      </c>
      <c r="J115" s="13" t="n">
        <f aca="false">SUM(J106:J114)</f>
        <v>0</v>
      </c>
    </row>
    <row r="118" customFormat="false" ht="15" hidden="false" customHeight="false" outlineLevel="0" collapsed="false">
      <c r="B118" s="11" t="s">
        <v>50</v>
      </c>
    </row>
    <row r="129" customFormat="false" ht="15" hidden="false" customHeight="false" outlineLevel="0" collapsed="false">
      <c r="B129" s="12" t="s">
        <v>34</v>
      </c>
      <c r="E129" s="13" t="n">
        <f aca="false">SUM(E119:E128)</f>
        <v>0</v>
      </c>
    </row>
    <row r="132" customFormat="false" ht="17.35" hidden="false" customHeight="false" outlineLevel="0" collapsed="false">
      <c r="B132" s="1" t="s">
        <v>51</v>
      </c>
    </row>
    <row r="135" customFormat="false" ht="15" hidden="false" customHeight="false" outlineLevel="0" collapsed="false">
      <c r="G135" s="12" t="s">
        <v>52</v>
      </c>
    </row>
    <row r="136" customFormat="false" ht="15" hidden="false" customHeight="false" outlineLevel="0" collapsed="false">
      <c r="C136" s="0" t="s">
        <v>53</v>
      </c>
      <c r="D136" s="4" t="str">
        <f aca="false">D24</f>
        <v>POTENGI</v>
      </c>
      <c r="G136" s="15" t="s">
        <v>54</v>
      </c>
      <c r="J136" s="8" t="n">
        <v>999479.89</v>
      </c>
    </row>
    <row r="137" customFormat="false" ht="15" hidden="false" customHeight="false" outlineLevel="0" collapsed="false">
      <c r="C137" s="0" t="s">
        <v>55</v>
      </c>
      <c r="D137" s="10" t="n">
        <f aca="false">J28</f>
        <v>19563940</v>
      </c>
      <c r="G137" s="15" t="s">
        <v>56</v>
      </c>
      <c r="J137" s="8" t="n">
        <v>859245.77</v>
      </c>
    </row>
    <row r="138" customFormat="false" ht="15" hidden="false" customHeight="false" outlineLevel="0" collapsed="false">
      <c r="C138" s="0" t="s">
        <v>15</v>
      </c>
      <c r="D138" s="4" t="str">
        <f aca="false">J29</f>
        <v>Orçamento executivo</v>
      </c>
      <c r="G138" s="15" t="s">
        <v>57</v>
      </c>
      <c r="J138" s="10" t="n">
        <f aca="false">J137-J136</f>
        <v>-140234.12</v>
      </c>
    </row>
    <row r="139" customFormat="false" ht="15" hidden="false" customHeight="false" outlineLevel="0" collapsed="false">
      <c r="C139" s="0" t="s">
        <v>58</v>
      </c>
      <c r="D139" s="16" t="n">
        <f aca="false">E26</f>
        <v>46235</v>
      </c>
      <c r="G139" s="15" t="s">
        <v>59</v>
      </c>
    </row>
    <row r="140" customFormat="false" ht="15" hidden="false" customHeight="false" outlineLevel="0" collapsed="false">
      <c r="C140" s="0" t="s">
        <v>60</v>
      </c>
      <c r="D140" s="17" t="n">
        <f aca="false">F31</f>
        <v>0.0478</v>
      </c>
      <c r="G140" s="20" t="s">
        <v>153</v>
      </c>
    </row>
    <row r="141" customFormat="false" ht="15" hidden="false" customHeight="false" outlineLevel="0" collapsed="false">
      <c r="C141" s="0" t="s">
        <v>61</v>
      </c>
      <c r="D141" s="17" t="n">
        <f aca="false">F33</f>
        <v>0.0465</v>
      </c>
    </row>
    <row r="142" customFormat="false" ht="15" hidden="false" customHeight="false" outlineLevel="0" collapsed="false">
      <c r="C142" s="0" t="s">
        <v>62</v>
      </c>
      <c r="D142" s="17" t="n">
        <f aca="false">F35</f>
        <v>0.7253</v>
      </c>
    </row>
    <row r="143" customFormat="false" ht="15" hidden="false" customHeight="false" outlineLevel="0" collapsed="false">
      <c r="C143" s="0" t="s">
        <v>63</v>
      </c>
      <c r="D143" s="17" t="n">
        <f aca="false">F37</f>
        <v>0.5502</v>
      </c>
    </row>
    <row r="145" customFormat="false" ht="15" hidden="false" customHeight="false" outlineLevel="0" collapsed="false">
      <c r="B145" s="0" t="s">
        <v>64</v>
      </c>
      <c r="C145" s="0" t="s">
        <v>65</v>
      </c>
      <c r="D145" s="10" t="n">
        <f aca="false">F39</f>
        <v>10764079.788</v>
      </c>
      <c r="E145" s="18" t="n">
        <f aca="false">D145/$D$137</f>
        <v>0.5502</v>
      </c>
    </row>
    <row r="146" customFormat="false" ht="15" hidden="false" customHeight="false" outlineLevel="0" collapsed="false">
      <c r="B146" s="0" t="s">
        <v>66</v>
      </c>
      <c r="C146" s="0" t="s">
        <v>32</v>
      </c>
      <c r="D146" s="10" t="n">
        <f aca="false">F41</f>
        <v>0</v>
      </c>
      <c r="E146" s="18" t="n">
        <f aca="false">D146/$D$137</f>
        <v>0</v>
      </c>
    </row>
    <row r="147" customFormat="false" ht="15" hidden="false" customHeight="false" outlineLevel="0" collapsed="false">
      <c r="B147" s="0" t="s">
        <v>67</v>
      </c>
      <c r="C147" s="0" t="s">
        <v>35</v>
      </c>
      <c r="D147" s="10" t="n">
        <f aca="false">F43</f>
        <v>0</v>
      </c>
      <c r="E147" s="18" t="n">
        <f aca="false">D147/$D$137</f>
        <v>0</v>
      </c>
    </row>
    <row r="148" customFormat="false" ht="15" hidden="false" customHeight="false" outlineLevel="0" collapsed="false">
      <c r="B148" s="0" t="s">
        <v>68</v>
      </c>
      <c r="C148" s="0" t="s">
        <v>33</v>
      </c>
      <c r="D148" s="10" t="n">
        <f aca="false">F45</f>
        <v>0</v>
      </c>
      <c r="E148" s="18" t="n">
        <f aca="false">D148/$D$137</f>
        <v>0</v>
      </c>
    </row>
    <row r="149" customFormat="false" ht="15" hidden="false" customHeight="false" outlineLevel="0" collapsed="false">
      <c r="B149" s="0" t="s">
        <v>69</v>
      </c>
      <c r="C149" s="0" t="s">
        <v>36</v>
      </c>
      <c r="D149" s="10" t="n">
        <f aca="false">F47</f>
        <v>198130.46</v>
      </c>
      <c r="E149" s="18" t="n">
        <f aca="false">D149/$D$137</f>
        <v>0.0101273291576237</v>
      </c>
    </row>
    <row r="150" customFormat="false" ht="15" hidden="false" customHeight="false" outlineLevel="0" collapsed="false">
      <c r="B150" s="0" t="s">
        <v>70</v>
      </c>
      <c r="C150" s="0" t="s">
        <v>71</v>
      </c>
      <c r="D150" s="10" t="n">
        <f aca="false">F49</f>
        <v>62500</v>
      </c>
      <c r="E150" s="18" t="n">
        <f aca="false">D150/$D$137</f>
        <v>0.00319465301979049</v>
      </c>
    </row>
    <row r="151" customFormat="false" ht="15" hidden="false" customHeight="false" outlineLevel="0" collapsed="false">
      <c r="B151" s="0" t="s">
        <v>72</v>
      </c>
      <c r="C151" s="0" t="s">
        <v>73</v>
      </c>
      <c r="D151" s="10" t="n">
        <f aca="false">F51</f>
        <v>0</v>
      </c>
      <c r="E151" s="18" t="n">
        <f aca="false">D151/$D$137</f>
        <v>0</v>
      </c>
    </row>
    <row r="152" customFormat="false" ht="15" hidden="false" customHeight="false" outlineLevel="0" collapsed="false">
      <c r="B152" s="0" t="s">
        <v>74</v>
      </c>
      <c r="C152" s="0" t="s">
        <v>45</v>
      </c>
      <c r="D152" s="10" t="n">
        <f aca="false">F53</f>
        <v>224958.36</v>
      </c>
      <c r="E152" s="18" t="n">
        <f aca="false">D152/$D$137</f>
        <v>0.0114986224656179</v>
      </c>
    </row>
    <row r="153" customFormat="false" ht="15" hidden="false" customHeight="false" outlineLevel="0" collapsed="false">
      <c r="B153" s="0" t="s">
        <v>75</v>
      </c>
      <c r="C153" s="0" t="s">
        <v>76</v>
      </c>
      <c r="D153" s="10" t="n">
        <f aca="false">F56</f>
        <v>10894703.97</v>
      </c>
      <c r="E153" s="18" t="n">
        <f aca="false">D153/$D$137</f>
        <v>0.556876782999743</v>
      </c>
    </row>
    <row r="154" customFormat="false" ht="15" hidden="false" customHeight="false" outlineLevel="0" collapsed="false">
      <c r="B154" s="0" t="s">
        <v>77</v>
      </c>
      <c r="C154" s="0" t="s">
        <v>50</v>
      </c>
      <c r="D154" s="10" t="n">
        <f aca="false">F58</f>
        <v>0</v>
      </c>
      <c r="E154" s="18" t="n">
        <f aca="false">D154/$D$137</f>
        <v>0</v>
      </c>
    </row>
    <row r="155" customFormat="false" ht="15" hidden="false" customHeight="false" outlineLevel="0" collapsed="false">
      <c r="C155" s="12" t="s">
        <v>78</v>
      </c>
      <c r="D155" s="13" t="n">
        <f aca="false">D145+D146+D147+D148+D149+D150+D151-D152-D153-D154</f>
        <v>-94952.0819999985</v>
      </c>
      <c r="E155" s="19" t="n">
        <f aca="false">D155/D137</f>
        <v>-0.00485342328794704</v>
      </c>
    </row>
    <row r="156" customFormat="false" ht="15" hidden="false" customHeight="false" outlineLevel="0" collapsed="false">
      <c r="C156" s="0" t="s">
        <v>79</v>
      </c>
      <c r="D156" s="10" t="n">
        <f aca="false">JUL26!D155</f>
        <v>-75175.8599999994</v>
      </c>
      <c r="E156" s="17" t="n">
        <f aca="false">JUL26!E155</f>
        <v>-0.0038580609071407</v>
      </c>
    </row>
    <row r="160" customFormat="false" ht="15" hidden="false" customHeight="false" outlineLevel="0" collapsed="false">
      <c r="B160" s="12" t="s">
        <v>80</v>
      </c>
    </row>
    <row r="162" customFormat="false" ht="15" hidden="false" customHeight="false" outlineLevel="0" collapsed="false">
      <c r="B162" s="12" t="s">
        <v>81</v>
      </c>
    </row>
    <row r="163" customFormat="false" ht="15" hidden="false" customHeight="false" outlineLevel="0" collapsed="false">
      <c r="B163" s="0" t="s">
        <v>82</v>
      </c>
    </row>
    <row r="164" customFormat="false" ht="15" hidden="false" customHeight="false" outlineLevel="0" collapsed="false">
      <c r="B164" s="12" t="s">
        <v>83</v>
      </c>
    </row>
    <row r="165" customFormat="false" ht="15" hidden="false" customHeight="false" outlineLevel="0" collapsed="false">
      <c r="B165" s="0" t="s">
        <v>84</v>
      </c>
    </row>
    <row r="166" customFormat="false" ht="15" hidden="false" customHeight="false" outlineLevel="0" collapsed="false">
      <c r="B166" s="12" t="s">
        <v>85</v>
      </c>
    </row>
    <row r="167" customFormat="false" ht="15" hidden="false" customHeight="false" outlineLevel="0" collapsed="false">
      <c r="B167" s="0" t="s">
        <v>86</v>
      </c>
    </row>
    <row r="168" customFormat="false" ht="15" hidden="false" customHeight="false" outlineLevel="0" collapsed="false">
      <c r="B168" s="12" t="s">
        <v>87</v>
      </c>
    </row>
    <row r="169" customFormat="false" ht="15" hidden="false" customHeight="false" outlineLevel="0" collapsed="false">
      <c r="B169" s="0" t="s">
        <v>88</v>
      </c>
    </row>
    <row r="170" customFormat="false" ht="15" hidden="false" customHeight="false" outlineLevel="0" collapsed="false">
      <c r="B170" s="12" t="s">
        <v>89</v>
      </c>
    </row>
    <row r="171" customFormat="false" ht="15" hidden="false" customHeight="false" outlineLevel="0" collapsed="false">
      <c r="B171" s="0" t="s">
        <v>90</v>
      </c>
    </row>
    <row r="172" customFormat="false" ht="15" hidden="false" customHeight="false" outlineLevel="0" collapsed="false">
      <c r="B172" s="12" t="s">
        <v>91</v>
      </c>
    </row>
    <row r="173" customFormat="false" ht="15" hidden="false" customHeight="false" outlineLevel="0" collapsed="false">
      <c r="B173" s="0" t="s">
        <v>92</v>
      </c>
    </row>
    <row r="174" customFormat="false" ht="15" hidden="false" customHeight="false" outlineLevel="0" collapsed="false">
      <c r="B174" s="12" t="s">
        <v>93</v>
      </c>
    </row>
    <row r="175" customFormat="false" ht="15" hidden="false" customHeight="false" outlineLevel="0" collapsed="false">
      <c r="B175" s="0" t="s">
        <v>94</v>
      </c>
    </row>
    <row r="176" customFormat="false" ht="15" hidden="false" customHeight="false" outlineLevel="0" collapsed="false">
      <c r="B176" s="12" t="s">
        <v>95</v>
      </c>
    </row>
    <row r="177" customFormat="false" ht="15" hidden="false" customHeight="false" outlineLevel="0" collapsed="false">
      <c r="B177" s="0" t="s">
        <v>96</v>
      </c>
    </row>
    <row r="178" customFormat="false" ht="15" hidden="false" customHeight="false" outlineLevel="0" collapsed="false">
      <c r="B178" s="12" t="s">
        <v>97</v>
      </c>
    </row>
    <row r="179" customFormat="false" ht="15" hidden="false" customHeight="false" outlineLevel="0" collapsed="false">
      <c r="B179" s="0" t="s">
        <v>98</v>
      </c>
    </row>
    <row r="180" customFormat="false" ht="15" hidden="false" customHeight="false" outlineLevel="0" collapsed="false">
      <c r="B180" s="12" t="s">
        <v>99</v>
      </c>
    </row>
    <row r="181" customFormat="false" ht="15" hidden="false" customHeight="false" outlineLevel="0" collapsed="false">
      <c r="B181" s="0" t="s">
        <v>100</v>
      </c>
    </row>
  </sheetData>
  <printOptions headings="false" gridLines="false" gridLinesSet="true" horizontalCentered="false" verticalCentered="false"/>
  <pageMargins left="0.75" right="0.75" top="1" bottom="1" header="0.511811023622047" footer="0.511811023622047"/>
  <pageSetup paperSize="9" scale="100" fitToWidth="1" fitToHeight="1" pageOrder="downThenOver" orientation="portrait" blackAndWhite="false" draft="false" cellComments="none" horizontalDpi="300" verticalDpi="300" copies="1"/>
  <headerFooter differentFirst="false" differentOddEven="false">
    <oddHeader/>
    <oddFooter/>
  </headerFooter>
</worksheet>
</file>

<file path=xl/worksheets/sheet14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r2="http://schemas.microsoft.com/office/spreadsheetml/2015/revision2" xmlns:mc="http://schemas.openxmlformats.org/markup-compatibility/2006">
  <sheetPr filterMode="false">
    <pageSetUpPr fitToPage="false"/>
  </sheetPr>
  <dimension ref="B2:J181"/>
  <sheetViews>
    <sheetView showFormulas="false" showGridLines="true" showRowColHeaders="true" showZeros="true" rightToLeft="false" tabSelected="false" showOutlineSymbols="true" defaultGridColor="true" view="normal" topLeftCell="A1" colorId="64" zoomScale="100" zoomScaleNormal="100" zoomScalePageLayoutView="100" workbookViewId="0">
      <selection pane="topLeft" activeCell="A1" activeCellId="0" sqref="A1"/>
    </sheetView>
  </sheetViews>
  <sheetFormatPr defaultColWidth="8.6796875" defaultRowHeight="15" zeroHeight="false" outlineLevelRow="0" outlineLevelCol="0"/>
  <cols>
    <col collapsed="false" customWidth="true" hidden="false" outlineLevel="0" max="1" min="1" style="0" width="3"/>
    <col collapsed="false" customWidth="true" hidden="false" outlineLevel="0" max="2" min="2" style="0" width="46"/>
    <col collapsed="false" customWidth="true" hidden="false" outlineLevel="0" max="3" min="3" style="0" width="30"/>
    <col collapsed="false" customWidth="true" hidden="false" outlineLevel="0" max="6" min="4" style="0" width="18"/>
    <col collapsed="false" customWidth="true" hidden="false" outlineLevel="0" max="7" min="7" style="0" width="44"/>
    <col collapsed="false" customWidth="true" hidden="false" outlineLevel="0" max="9" min="8" style="0" width="12"/>
    <col collapsed="false" customWidth="true" hidden="false" outlineLevel="0" max="10" min="10" style="0" width="18"/>
  </cols>
  <sheetData>
    <row r="2" customFormat="false" ht="17.35" hidden="false" customHeight="false" outlineLevel="0" collapsed="false">
      <c r="B2" s="1" t="s">
        <v>4</v>
      </c>
    </row>
    <row r="3" customFormat="false" ht="15" hidden="false" customHeight="false" outlineLevel="0" collapsed="false">
      <c r="B3" s="0" t="s">
        <v>5</v>
      </c>
    </row>
    <row r="4" customFormat="false" ht="15" hidden="false" customHeight="false" outlineLevel="0" collapsed="false">
      <c r="B4" s="0" t="s">
        <v>6</v>
      </c>
    </row>
    <row r="18" customFormat="false" ht="15" hidden="false" customHeight="false" outlineLevel="0" collapsed="false">
      <c r="B18" s="3" t="s">
        <v>7</v>
      </c>
    </row>
    <row r="19" customFormat="false" ht="15" hidden="false" customHeight="false" outlineLevel="0" collapsed="false">
      <c r="B19" s="4" t="s">
        <v>8</v>
      </c>
    </row>
    <row r="20" customFormat="false" ht="15" hidden="false" customHeight="false" outlineLevel="0" collapsed="false">
      <c r="B20" s="5" t="s">
        <v>9</v>
      </c>
    </row>
    <row r="21" customFormat="false" ht="15" hidden="false" customHeight="false" outlineLevel="0" collapsed="false">
      <c r="B21" s="6" t="s">
        <v>10</v>
      </c>
    </row>
    <row r="24" customFormat="false" ht="15" hidden="false" customHeight="false" outlineLevel="0" collapsed="false">
      <c r="B24" s="0" t="s">
        <v>11</v>
      </c>
      <c r="D24" s="3" t="s">
        <v>12</v>
      </c>
    </row>
    <row r="26" customFormat="false" ht="15" hidden="false" customHeight="false" outlineLevel="0" collapsed="false">
      <c r="B26" s="0" t="s">
        <v>13</v>
      </c>
      <c r="E26" s="7" t="n">
        <v>46266</v>
      </c>
    </row>
    <row r="28" customFormat="false" ht="15" hidden="false" customHeight="false" outlineLevel="0" collapsed="false">
      <c r="B28" s="0" t="s">
        <v>14</v>
      </c>
      <c r="J28" s="8" t="n">
        <v>19642480</v>
      </c>
    </row>
    <row r="29" customFormat="false" ht="15" hidden="false" customHeight="false" outlineLevel="0" collapsed="false">
      <c r="B29" s="0" t="s">
        <v>15</v>
      </c>
      <c r="J29" s="3" t="s">
        <v>16</v>
      </c>
    </row>
    <row r="31" customFormat="false" ht="15" hidden="false" customHeight="false" outlineLevel="0" collapsed="false">
      <c r="B31" s="0" t="s">
        <v>17</v>
      </c>
      <c r="F31" s="9" t="n">
        <v>0.0455</v>
      </c>
    </row>
    <row r="33" customFormat="false" ht="15" hidden="false" customHeight="false" outlineLevel="0" collapsed="false">
      <c r="B33" s="0" t="s">
        <v>18</v>
      </c>
      <c r="F33" s="9" t="n">
        <v>0.0478</v>
      </c>
    </row>
    <row r="35" customFormat="false" ht="15" hidden="false" customHeight="false" outlineLevel="0" collapsed="false">
      <c r="B35" s="0" t="s">
        <v>19</v>
      </c>
      <c r="F35" s="9" t="n">
        <v>0.7708</v>
      </c>
    </row>
    <row r="37" customFormat="false" ht="15" hidden="false" customHeight="false" outlineLevel="0" collapsed="false">
      <c r="B37" s="0" t="s">
        <v>20</v>
      </c>
      <c r="F37" s="9" t="n">
        <v>0.598</v>
      </c>
    </row>
    <row r="39" customFormat="false" ht="15" hidden="false" customHeight="false" outlineLevel="0" collapsed="false">
      <c r="B39" s="0" t="s">
        <v>21</v>
      </c>
      <c r="F39" s="10" t="n">
        <f aca="false">F37*J28</f>
        <v>11746203.04</v>
      </c>
    </row>
    <row r="41" customFormat="false" ht="15" hidden="false" customHeight="false" outlineLevel="0" collapsed="false">
      <c r="B41" s="0" t="s">
        <v>22</v>
      </c>
      <c r="F41" s="10" t="n">
        <f aca="false">E74</f>
        <v>0</v>
      </c>
    </row>
    <row r="43" customFormat="false" ht="15" hidden="false" customHeight="false" outlineLevel="0" collapsed="false">
      <c r="B43" s="0" t="s">
        <v>23</v>
      </c>
      <c r="F43" s="10" t="n">
        <f aca="false">E88</f>
        <v>0</v>
      </c>
    </row>
    <row r="45" customFormat="false" ht="15" hidden="false" customHeight="false" outlineLevel="0" collapsed="false">
      <c r="B45" s="0" t="s">
        <v>24</v>
      </c>
      <c r="F45" s="10" t="n">
        <f aca="false">J74</f>
        <v>0</v>
      </c>
    </row>
    <row r="47" customFormat="false" ht="15" hidden="false" customHeight="false" outlineLevel="0" collapsed="false">
      <c r="B47" s="0" t="s">
        <v>25</v>
      </c>
      <c r="F47" s="10" t="n">
        <f aca="false">J88</f>
        <v>271253.15</v>
      </c>
    </row>
    <row r="49" customFormat="false" ht="15" hidden="false" customHeight="false" outlineLevel="0" collapsed="false">
      <c r="B49" s="0" t="s">
        <v>26</v>
      </c>
      <c r="F49" s="10" t="n">
        <f aca="false">E102</f>
        <v>62500</v>
      </c>
    </row>
    <row r="51" customFormat="false" ht="15" hidden="false" customHeight="false" outlineLevel="0" collapsed="false">
      <c r="B51" s="0" t="s">
        <v>27</v>
      </c>
      <c r="F51" s="10" t="n">
        <f aca="false">J102</f>
        <v>0</v>
      </c>
    </row>
    <row r="53" customFormat="false" ht="15" hidden="false" customHeight="false" outlineLevel="0" collapsed="false">
      <c r="B53" s="0" t="s">
        <v>28</v>
      </c>
      <c r="F53" s="10" t="n">
        <f aca="false">E115</f>
        <v>216399.77</v>
      </c>
    </row>
    <row r="55" customFormat="false" ht="15" hidden="false" customHeight="false" outlineLevel="0" collapsed="false">
      <c r="B55" s="0" t="s">
        <v>29</v>
      </c>
      <c r="F55" s="8" t="n">
        <v>11979932.61</v>
      </c>
    </row>
    <row r="56" customFormat="false" ht="15" hidden="false" customHeight="false" outlineLevel="0" collapsed="false">
      <c r="B56" s="0" t="s">
        <v>30</v>
      </c>
      <c r="F56" s="10" t="n">
        <f aca="false">F55-J115</f>
        <v>11979932.61</v>
      </c>
    </row>
    <row r="58" customFormat="false" ht="15" hidden="false" customHeight="false" outlineLevel="0" collapsed="false">
      <c r="B58" s="0" t="s">
        <v>31</v>
      </c>
      <c r="F58" s="10" t="n">
        <f aca="false">E129</f>
        <v>0</v>
      </c>
    </row>
    <row r="63" customFormat="false" ht="15" hidden="false" customHeight="false" outlineLevel="0" collapsed="false">
      <c r="B63" s="11" t="s">
        <v>32</v>
      </c>
      <c r="G63" s="11" t="s">
        <v>33</v>
      </c>
    </row>
    <row r="74" customFormat="false" ht="15" hidden="false" customHeight="false" outlineLevel="0" collapsed="false">
      <c r="B74" s="12" t="s">
        <v>34</v>
      </c>
      <c r="E74" s="13" t="n">
        <f aca="false">SUM(E64:E73)</f>
        <v>0</v>
      </c>
      <c r="G74" s="12" t="s">
        <v>34</v>
      </c>
      <c r="J74" s="13" t="n">
        <f aca="false">SUM(J64:J73)</f>
        <v>0</v>
      </c>
    </row>
    <row r="77" customFormat="false" ht="15" hidden="false" customHeight="false" outlineLevel="0" collapsed="false">
      <c r="B77" s="11" t="s">
        <v>35</v>
      </c>
      <c r="G77" s="11" t="s">
        <v>36</v>
      </c>
    </row>
    <row r="78" customFormat="false" ht="15" hidden="false" customHeight="false" outlineLevel="0" collapsed="false">
      <c r="G78" s="0" t="s">
        <v>106</v>
      </c>
      <c r="J78" s="14" t="n">
        <v>41763.73</v>
      </c>
    </row>
    <row r="79" customFormat="false" ht="15" hidden="false" customHeight="false" outlineLevel="0" collapsed="false">
      <c r="G79" s="0" t="s">
        <v>142</v>
      </c>
      <c r="J79" s="14" t="n">
        <v>41112.81</v>
      </c>
    </row>
    <row r="80" customFormat="false" ht="15" hidden="false" customHeight="false" outlineLevel="0" collapsed="false">
      <c r="G80" s="0" t="s">
        <v>107</v>
      </c>
      <c r="J80" s="14" t="n">
        <v>46888.29</v>
      </c>
    </row>
    <row r="81" customFormat="false" ht="15" hidden="false" customHeight="false" outlineLevel="0" collapsed="false">
      <c r="G81" s="0" t="s">
        <v>143</v>
      </c>
      <c r="J81" s="14" t="n">
        <v>57690.44</v>
      </c>
    </row>
    <row r="82" customFormat="false" ht="15" hidden="false" customHeight="false" outlineLevel="0" collapsed="false">
      <c r="G82" s="0" t="s">
        <v>144</v>
      </c>
      <c r="J82" s="14" t="n">
        <v>83797.88</v>
      </c>
    </row>
    <row r="88" customFormat="false" ht="15" hidden="false" customHeight="false" outlineLevel="0" collapsed="false">
      <c r="B88" s="12" t="s">
        <v>34</v>
      </c>
      <c r="E88" s="13" t="n">
        <f aca="false">SUM(E78:E87)</f>
        <v>0</v>
      </c>
      <c r="G88" s="12" t="s">
        <v>34</v>
      </c>
      <c r="J88" s="13" t="n">
        <f aca="false">SUM(J78:J87)</f>
        <v>271253.15</v>
      </c>
    </row>
    <row r="91" customFormat="false" ht="15" hidden="false" customHeight="false" outlineLevel="0" collapsed="false">
      <c r="B91" s="11" t="s">
        <v>40</v>
      </c>
      <c r="G91" s="11" t="s">
        <v>41</v>
      </c>
    </row>
    <row r="92" customFormat="false" ht="15" hidden="false" customHeight="false" outlineLevel="0" collapsed="false">
      <c r="B92" s="0" t="s">
        <v>42</v>
      </c>
      <c r="E92" s="14" t="n">
        <v>9800</v>
      </c>
    </row>
    <row r="93" customFormat="false" ht="15" hidden="false" customHeight="false" outlineLevel="0" collapsed="false">
      <c r="B93" s="0" t="s">
        <v>43</v>
      </c>
      <c r="E93" s="14" t="n">
        <v>38500</v>
      </c>
    </row>
    <row r="94" customFormat="false" ht="15" hidden="false" customHeight="false" outlineLevel="0" collapsed="false">
      <c r="B94" s="0" t="s">
        <v>44</v>
      </c>
      <c r="E94" s="14" t="n">
        <v>14200</v>
      </c>
    </row>
    <row r="102" customFormat="false" ht="15" hidden="false" customHeight="false" outlineLevel="0" collapsed="false">
      <c r="B102" s="12" t="s">
        <v>34</v>
      </c>
      <c r="E102" s="13" t="n">
        <f aca="false">SUM(E92:E101)</f>
        <v>62500</v>
      </c>
      <c r="G102" s="12" t="s">
        <v>34</v>
      </c>
      <c r="J102" s="13" t="n">
        <f aca="false">SUM(J92:J101)</f>
        <v>0</v>
      </c>
    </row>
    <row r="105" customFormat="false" ht="15" hidden="false" customHeight="false" outlineLevel="0" collapsed="false">
      <c r="B105" s="11" t="s">
        <v>45</v>
      </c>
      <c r="G105" s="11" t="s">
        <v>46</v>
      </c>
    </row>
    <row r="106" customFormat="false" ht="15" hidden="false" customHeight="false" outlineLevel="0" collapsed="false">
      <c r="B106" s="0" t="s">
        <v>154</v>
      </c>
      <c r="E106" s="14" t="n">
        <v>53434.01</v>
      </c>
    </row>
    <row r="107" customFormat="false" ht="15" hidden="false" customHeight="false" outlineLevel="0" collapsed="false">
      <c r="B107" s="0" t="s">
        <v>155</v>
      </c>
      <c r="E107" s="14" t="n">
        <v>49234.97</v>
      </c>
    </row>
    <row r="108" customFormat="false" ht="15" hidden="false" customHeight="false" outlineLevel="0" collapsed="false">
      <c r="B108" s="0" t="s">
        <v>156</v>
      </c>
      <c r="E108" s="14" t="n">
        <v>58508.78</v>
      </c>
    </row>
    <row r="109" customFormat="false" ht="15" hidden="false" customHeight="false" outlineLevel="0" collapsed="false">
      <c r="B109" s="0" t="s">
        <v>157</v>
      </c>
      <c r="E109" s="14" t="n">
        <v>55222.01</v>
      </c>
    </row>
    <row r="115" customFormat="false" ht="15" hidden="false" customHeight="false" outlineLevel="0" collapsed="false">
      <c r="B115" s="12" t="s">
        <v>34</v>
      </c>
      <c r="E115" s="13" t="n">
        <f aca="false">SUM(E106:E114)</f>
        <v>216399.77</v>
      </c>
      <c r="G115" s="12" t="s">
        <v>34</v>
      </c>
      <c r="J115" s="13" t="n">
        <f aca="false">SUM(J106:J114)</f>
        <v>0</v>
      </c>
    </row>
    <row r="118" customFormat="false" ht="15" hidden="false" customHeight="false" outlineLevel="0" collapsed="false">
      <c r="B118" s="11" t="s">
        <v>50</v>
      </c>
    </row>
    <row r="129" customFormat="false" ht="15" hidden="false" customHeight="false" outlineLevel="0" collapsed="false">
      <c r="B129" s="12" t="s">
        <v>34</v>
      </c>
      <c r="E129" s="13" t="n">
        <f aca="false">SUM(E119:E128)</f>
        <v>0</v>
      </c>
    </row>
    <row r="132" customFormat="false" ht="17.35" hidden="false" customHeight="false" outlineLevel="0" collapsed="false">
      <c r="B132" s="1" t="s">
        <v>51</v>
      </c>
    </row>
    <row r="135" customFormat="false" ht="15" hidden="false" customHeight="false" outlineLevel="0" collapsed="false">
      <c r="G135" s="12" t="s">
        <v>52</v>
      </c>
    </row>
    <row r="136" customFormat="false" ht="15" hidden="false" customHeight="false" outlineLevel="0" collapsed="false">
      <c r="C136" s="0" t="s">
        <v>53</v>
      </c>
      <c r="D136" s="4" t="str">
        <f aca="false">D24</f>
        <v>POTENGI</v>
      </c>
      <c r="G136" s="15" t="s">
        <v>54</v>
      </c>
      <c r="J136" s="8" t="n">
        <v>1198464.48</v>
      </c>
    </row>
    <row r="137" customFormat="false" ht="15" hidden="false" customHeight="false" outlineLevel="0" collapsed="false">
      <c r="C137" s="0" t="s">
        <v>55</v>
      </c>
      <c r="D137" s="10" t="n">
        <f aca="false">J28</f>
        <v>19642480</v>
      </c>
      <c r="G137" s="15" t="s">
        <v>56</v>
      </c>
      <c r="J137" s="8" t="n">
        <v>1085228.64</v>
      </c>
    </row>
    <row r="138" customFormat="false" ht="15" hidden="false" customHeight="false" outlineLevel="0" collapsed="false">
      <c r="C138" s="0" t="s">
        <v>15</v>
      </c>
      <c r="D138" s="4" t="str">
        <f aca="false">J29</f>
        <v>Orçamento executivo</v>
      </c>
      <c r="G138" s="15" t="s">
        <v>57</v>
      </c>
      <c r="J138" s="10" t="n">
        <f aca="false">J137-J136</f>
        <v>-113235.84</v>
      </c>
    </row>
    <row r="139" customFormat="false" ht="15" hidden="false" customHeight="false" outlineLevel="0" collapsed="false">
      <c r="C139" s="0" t="s">
        <v>58</v>
      </c>
      <c r="D139" s="16" t="n">
        <f aca="false">E26</f>
        <v>46266</v>
      </c>
      <c r="G139" s="15" t="s">
        <v>59</v>
      </c>
    </row>
    <row r="140" customFormat="false" ht="15" hidden="false" customHeight="false" outlineLevel="0" collapsed="false">
      <c r="C140" s="0" t="s">
        <v>60</v>
      </c>
      <c r="D140" s="17" t="n">
        <f aca="false">F31</f>
        <v>0.0455</v>
      </c>
    </row>
    <row r="141" customFormat="false" ht="15" hidden="false" customHeight="false" outlineLevel="0" collapsed="false">
      <c r="C141" s="0" t="s">
        <v>61</v>
      </c>
      <c r="D141" s="17" t="n">
        <f aca="false">F33</f>
        <v>0.0478</v>
      </c>
    </row>
    <row r="142" customFormat="false" ht="15" hidden="false" customHeight="false" outlineLevel="0" collapsed="false">
      <c r="C142" s="0" t="s">
        <v>62</v>
      </c>
      <c r="D142" s="17" t="n">
        <f aca="false">F35</f>
        <v>0.7708</v>
      </c>
    </row>
    <row r="143" customFormat="false" ht="15" hidden="false" customHeight="false" outlineLevel="0" collapsed="false">
      <c r="C143" s="0" t="s">
        <v>63</v>
      </c>
      <c r="D143" s="17" t="n">
        <f aca="false">F37</f>
        <v>0.598</v>
      </c>
    </row>
    <row r="145" customFormat="false" ht="15" hidden="false" customHeight="false" outlineLevel="0" collapsed="false">
      <c r="B145" s="0" t="s">
        <v>64</v>
      </c>
      <c r="C145" s="0" t="s">
        <v>65</v>
      </c>
      <c r="D145" s="10" t="n">
        <f aca="false">F39</f>
        <v>11746203.04</v>
      </c>
      <c r="E145" s="18" t="n">
        <f aca="false">D145/$D$137</f>
        <v>0.598</v>
      </c>
    </row>
    <row r="146" customFormat="false" ht="15" hidden="false" customHeight="false" outlineLevel="0" collapsed="false">
      <c r="B146" s="0" t="s">
        <v>66</v>
      </c>
      <c r="C146" s="0" t="s">
        <v>32</v>
      </c>
      <c r="D146" s="10" t="n">
        <f aca="false">F41</f>
        <v>0</v>
      </c>
      <c r="E146" s="18" t="n">
        <f aca="false">D146/$D$137</f>
        <v>0</v>
      </c>
    </row>
    <row r="147" customFormat="false" ht="15" hidden="false" customHeight="false" outlineLevel="0" collapsed="false">
      <c r="B147" s="0" t="s">
        <v>67</v>
      </c>
      <c r="C147" s="0" t="s">
        <v>35</v>
      </c>
      <c r="D147" s="10" t="n">
        <f aca="false">F43</f>
        <v>0</v>
      </c>
      <c r="E147" s="18" t="n">
        <f aca="false">D147/$D$137</f>
        <v>0</v>
      </c>
    </row>
    <row r="148" customFormat="false" ht="15" hidden="false" customHeight="false" outlineLevel="0" collapsed="false">
      <c r="B148" s="0" t="s">
        <v>68</v>
      </c>
      <c r="C148" s="0" t="s">
        <v>33</v>
      </c>
      <c r="D148" s="10" t="n">
        <f aca="false">F45</f>
        <v>0</v>
      </c>
      <c r="E148" s="18" t="n">
        <f aca="false">D148/$D$137</f>
        <v>0</v>
      </c>
    </row>
    <row r="149" customFormat="false" ht="15" hidden="false" customHeight="false" outlineLevel="0" collapsed="false">
      <c r="B149" s="0" t="s">
        <v>69</v>
      </c>
      <c r="C149" s="0" t="s">
        <v>36</v>
      </c>
      <c r="D149" s="10" t="n">
        <f aca="false">F47</f>
        <v>271253.15</v>
      </c>
      <c r="E149" s="18" t="n">
        <f aca="false">D149/$D$137</f>
        <v>0.0138095164154425</v>
      </c>
    </row>
    <row r="150" customFormat="false" ht="15" hidden="false" customHeight="false" outlineLevel="0" collapsed="false">
      <c r="B150" s="0" t="s">
        <v>70</v>
      </c>
      <c r="C150" s="0" t="s">
        <v>71</v>
      </c>
      <c r="D150" s="10" t="n">
        <f aca="false">F49</f>
        <v>62500</v>
      </c>
      <c r="E150" s="18" t="n">
        <f aca="false">D150/$D$137</f>
        <v>0.00318187927390024</v>
      </c>
    </row>
    <row r="151" customFormat="false" ht="15" hidden="false" customHeight="false" outlineLevel="0" collapsed="false">
      <c r="B151" s="0" t="s">
        <v>72</v>
      </c>
      <c r="C151" s="0" t="s">
        <v>73</v>
      </c>
      <c r="D151" s="10" t="n">
        <f aca="false">F51</f>
        <v>0</v>
      </c>
      <c r="E151" s="18" t="n">
        <f aca="false">D151/$D$137</f>
        <v>0</v>
      </c>
    </row>
    <row r="152" customFormat="false" ht="15" hidden="false" customHeight="false" outlineLevel="0" collapsed="false">
      <c r="B152" s="0" t="s">
        <v>74</v>
      </c>
      <c r="C152" s="0" t="s">
        <v>45</v>
      </c>
      <c r="D152" s="10" t="n">
        <f aca="false">F53</f>
        <v>216399.77</v>
      </c>
      <c r="E152" s="18" t="n">
        <f aca="false">D152/$D$137</f>
        <v>0.0110169270886365</v>
      </c>
    </row>
    <row r="153" customFormat="false" ht="15" hidden="false" customHeight="false" outlineLevel="0" collapsed="false">
      <c r="B153" s="0" t="s">
        <v>75</v>
      </c>
      <c r="C153" s="0" t="s">
        <v>76</v>
      </c>
      <c r="D153" s="10" t="n">
        <f aca="false">F56</f>
        <v>11979932.61</v>
      </c>
      <c r="E153" s="18" t="n">
        <f aca="false">D153/$D$137</f>
        <v>0.60989918839169</v>
      </c>
    </row>
    <row r="154" customFormat="false" ht="15" hidden="false" customHeight="false" outlineLevel="0" collapsed="false">
      <c r="B154" s="0" t="s">
        <v>77</v>
      </c>
      <c r="C154" s="0" t="s">
        <v>50</v>
      </c>
      <c r="D154" s="10" t="n">
        <f aca="false">F58</f>
        <v>0</v>
      </c>
      <c r="E154" s="18" t="n">
        <f aca="false">D154/$D$137</f>
        <v>0</v>
      </c>
    </row>
    <row r="155" customFormat="false" ht="15" hidden="false" customHeight="false" outlineLevel="0" collapsed="false">
      <c r="C155" s="12" t="s">
        <v>78</v>
      </c>
      <c r="D155" s="13" t="n">
        <f aca="false">D145+D146+D147+D148+D149+D150+D151-D152-D153-D154</f>
        <v>-116376.189999999</v>
      </c>
      <c r="E155" s="19" t="n">
        <f aca="false">D155/D137</f>
        <v>-0.0059247197909836</v>
      </c>
    </row>
    <row r="156" customFormat="false" ht="15" hidden="false" customHeight="false" outlineLevel="0" collapsed="false">
      <c r="C156" s="0" t="s">
        <v>79</v>
      </c>
      <c r="D156" s="10" t="n">
        <f aca="false">AGO26!D155</f>
        <v>-94952.0819999985</v>
      </c>
      <c r="E156" s="17" t="n">
        <f aca="false">AGO26!E155</f>
        <v>-0.00485342328794704</v>
      </c>
    </row>
    <row r="160" customFormat="false" ht="15" hidden="false" customHeight="false" outlineLevel="0" collapsed="false">
      <c r="B160" s="12" t="s">
        <v>80</v>
      </c>
    </row>
    <row r="162" customFormat="false" ht="15" hidden="false" customHeight="false" outlineLevel="0" collapsed="false">
      <c r="B162" s="12" t="s">
        <v>81</v>
      </c>
    </row>
    <row r="163" customFormat="false" ht="15" hidden="false" customHeight="false" outlineLevel="0" collapsed="false">
      <c r="B163" s="0" t="s">
        <v>82</v>
      </c>
    </row>
    <row r="164" customFormat="false" ht="15" hidden="false" customHeight="false" outlineLevel="0" collapsed="false">
      <c r="B164" s="12" t="s">
        <v>83</v>
      </c>
    </row>
    <row r="165" customFormat="false" ht="15" hidden="false" customHeight="false" outlineLevel="0" collapsed="false">
      <c r="B165" s="0" t="s">
        <v>84</v>
      </c>
    </row>
    <row r="166" customFormat="false" ht="15" hidden="false" customHeight="false" outlineLevel="0" collapsed="false">
      <c r="B166" s="12" t="s">
        <v>85</v>
      </c>
    </row>
    <row r="167" customFormat="false" ht="15" hidden="false" customHeight="false" outlineLevel="0" collapsed="false">
      <c r="B167" s="0" t="s">
        <v>86</v>
      </c>
    </row>
    <row r="168" customFormat="false" ht="15" hidden="false" customHeight="false" outlineLevel="0" collapsed="false">
      <c r="B168" s="12" t="s">
        <v>87</v>
      </c>
    </row>
    <row r="169" customFormat="false" ht="15" hidden="false" customHeight="false" outlineLevel="0" collapsed="false">
      <c r="B169" s="0" t="s">
        <v>88</v>
      </c>
    </row>
    <row r="170" customFormat="false" ht="15" hidden="false" customHeight="false" outlineLevel="0" collapsed="false">
      <c r="B170" s="12" t="s">
        <v>89</v>
      </c>
    </row>
    <row r="171" customFormat="false" ht="15" hidden="false" customHeight="false" outlineLevel="0" collapsed="false">
      <c r="B171" s="0" t="s">
        <v>90</v>
      </c>
    </row>
    <row r="172" customFormat="false" ht="15" hidden="false" customHeight="false" outlineLevel="0" collapsed="false">
      <c r="B172" s="12" t="s">
        <v>91</v>
      </c>
    </row>
    <row r="173" customFormat="false" ht="15" hidden="false" customHeight="false" outlineLevel="0" collapsed="false">
      <c r="B173" s="0" t="s">
        <v>92</v>
      </c>
    </row>
    <row r="174" customFormat="false" ht="15" hidden="false" customHeight="false" outlineLevel="0" collapsed="false">
      <c r="B174" s="12" t="s">
        <v>93</v>
      </c>
    </row>
    <row r="175" customFormat="false" ht="15" hidden="false" customHeight="false" outlineLevel="0" collapsed="false">
      <c r="B175" s="0" t="s">
        <v>94</v>
      </c>
    </row>
    <row r="176" customFormat="false" ht="15" hidden="false" customHeight="false" outlineLevel="0" collapsed="false">
      <c r="B176" s="12" t="s">
        <v>95</v>
      </c>
    </row>
    <row r="177" customFormat="false" ht="15" hidden="false" customHeight="false" outlineLevel="0" collapsed="false">
      <c r="B177" s="0" t="s">
        <v>96</v>
      </c>
    </row>
    <row r="178" customFormat="false" ht="15" hidden="false" customHeight="false" outlineLevel="0" collapsed="false">
      <c r="B178" s="12" t="s">
        <v>97</v>
      </c>
    </row>
    <row r="179" customFormat="false" ht="15" hidden="false" customHeight="false" outlineLevel="0" collapsed="false">
      <c r="B179" s="0" t="s">
        <v>98</v>
      </c>
    </row>
    <row r="180" customFormat="false" ht="15" hidden="false" customHeight="false" outlineLevel="0" collapsed="false">
      <c r="B180" s="12" t="s">
        <v>99</v>
      </c>
    </row>
    <row r="181" customFormat="false" ht="15" hidden="false" customHeight="false" outlineLevel="0" collapsed="false">
      <c r="B181" s="0" t="s">
        <v>100</v>
      </c>
    </row>
  </sheetData>
  <printOptions headings="false" gridLines="false" gridLinesSet="true" horizontalCentered="false" verticalCentered="false"/>
  <pageMargins left="0.75" right="0.75" top="1" bottom="1" header="0.511811023622047" footer="0.511811023622047"/>
  <pageSetup paperSize="9" scale="100" fitToWidth="1" fitToHeight="1" pageOrder="downThenOver" orientation="portrait" blackAndWhite="false" draft="false" cellComments="none" horizontalDpi="300" verticalDpi="300" copies="1"/>
  <headerFooter differentFirst="false" differentOddEven="false">
    <oddHeader/>
    <oddFooter/>
  </headerFooter>
</worksheet>
</file>

<file path=docProps/app.xml><?xml version="1.0" encoding="utf-8"?>
<Properties xmlns="http://schemas.openxmlformats.org/officeDocument/2006/extended-properties" xmlns:vt="http://schemas.openxmlformats.org/officeDocument/2006/docPropsVTypes">
  <Template/>
  <TotalTime>0</TotalTime>
  <Application>LibreOffice/24.2.7.2$Linux_X86_64 LibreOffice_project/420$Build-2</Application>
  <AppVersion>15.0000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terms:created xsi:type="dcterms:W3CDTF">2026-10-28T18:38:09Z</dcterms:created>
  <dc:creator>openpyxl</dc:creator>
  <dc:description/>
  <dc:language>en-US</dc:language>
  <cp:lastModifiedBy/>
  <dcterms:modified xsi:type="dcterms:W3CDTF">2026-10-28T18:38:10Z</dcterms:modified>
  <cp:revision>0</cp:revision>
  <dc:subject/>
  <dc:title/>
</cp:coreProperties>
</file>

<file path=docProps/custom.xml><?xml version="1.0" encoding="utf-8"?>
<Properties xmlns="http://schemas.openxmlformats.org/officeDocument/2006/custom-properties" xmlns:vt="http://schemas.openxmlformats.org/officeDocument/2006/docPropsVTypes"/>
</file>