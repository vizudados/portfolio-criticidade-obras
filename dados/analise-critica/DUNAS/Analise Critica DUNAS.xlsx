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SET25" sheetId="2" state="visible" r:id="rId4"/>
    <sheet name="OUT25" sheetId="3" state="visible" r:id="rId5"/>
    <sheet name="NOV25" sheetId="4" state="visible" r:id="rId6"/>
    <sheet name="DEZ25" sheetId="5" state="visible" r:id="rId7"/>
    <sheet name="JAN26" sheetId="6" state="visible" r:id="rId8"/>
    <sheet name="FEV26" sheetId="7" state="visible" r:id="rId9"/>
    <sheet name="MAR26" sheetId="8" state="visible" r:id="rId10"/>
    <sheet name="ABR26" sheetId="9" state="visible" r:id="rId11"/>
    <sheet name="MAI26" sheetId="10" state="visible" r:id="rId12"/>
    <sheet name="JUN26" sheetId="11" state="visible" r:id="rId13"/>
    <sheet name="JUL26" sheetId="12" state="visible" r:id="rId14"/>
    <sheet name="AGO26" sheetId="13" state="visible" r:id="rId15"/>
    <sheet name="SET26" sheetId="14" state="visible" r:id="rId16"/>
  </sheets>
  <definedNames>
    <definedName function="false" hidden="false" localSheetId="8" name="_xlnm.Print_Area" vbProcedure="false">ABR26!$A$132:$J$157</definedName>
    <definedName function="false" hidden="false" localSheetId="12" name="_xlnm.Print_Area" vbProcedure="false">AGO26!$A$132:$J$157</definedName>
    <definedName function="false" hidden="false" localSheetId="4" name="_xlnm.Print_Area" vbProcedure="false">DEZ25!$A$132:$J$157</definedName>
    <definedName function="false" hidden="false" localSheetId="6" name="_xlnm.Print_Area" vbProcedure="false">FEV26!$A$132:$J$157</definedName>
    <definedName function="false" hidden="false" localSheetId="5" name="_xlnm.Print_Area" vbProcedure="false">JAN26!$A$132:$J$157</definedName>
    <definedName function="false" hidden="false" localSheetId="11" name="_xlnm.Print_Area" vbProcedure="false">JUL26!$A$132:$J$157</definedName>
    <definedName function="false" hidden="false" localSheetId="10" name="_xlnm.Print_Area" vbProcedure="false">JUN26!$A$132:$J$157</definedName>
    <definedName function="false" hidden="false" localSheetId="9" name="_xlnm.Print_Area" vbProcedure="false">MAI26!$A$132:$J$157</definedName>
    <definedName function="false" hidden="false" localSheetId="7" name="_xlnm.Print_Area" vbProcedure="false">MAR26!$A$132:$J$157</definedName>
    <definedName function="false" hidden="false" localSheetId="3" name="_xlnm.Print_Area" vbProcedure="false">NOV25!$A$132:$J$157</definedName>
    <definedName function="false" hidden="false" localSheetId="2" name="_xlnm.Print_Area" vbProcedure="false">OUT25!$A$132:$J$157</definedName>
    <definedName function="false" hidden="false" localSheetId="1" name="_xlnm.Print_Area" vbProcedure="false">SET25!$A$132:$J$157</definedName>
    <definedName function="false" hidden="false" localSheetId="13" name="_xlnm.Print_Area" vbProcedure="false">SET26!$A$132:$J$157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<sst xmlns="http://schemas.openxmlformats.org/spreadsheetml/2006/main" count="1516" uniqueCount="159">
  <si>
    <t xml:space="preserve">Análise Crítica · DUNAS</t>
  </si>
  <si>
    <t xml:space="preserve">Dados fictícios: construtora inventada de Natal/RN, portfólio Vizu Dados.</t>
  </si>
  <si>
    <t xml:space="preserve">Uma aba por mês (MMMAA). Os campos são lidos pelo rótulo da coluna B.</t>
  </si>
  <si>
    <t xml:space="preserve">Versão 01 da planilha: a dívida da obra (item 10) desconta do resultado.</t>
  </si>
  <si>
    <t xml:space="preserve">ANÁLISE DE DESEMPENHO ECONÔMICO DA OBRA</t>
  </si>
  <si>
    <t xml:space="preserve">Construtora fictícia de Natal/RN · portfólio Vizu Dados · dados inventados</t>
  </si>
  <si>
    <t xml:space="preserve">Versão 01 · revisão de 01/09/2025: a dívida da obra passa a descontar do resultado</t>
  </si>
  <si>
    <t xml:space="preserve">Célula editável</t>
  </si>
  <si>
    <t xml:space="preserve">Resultado (não editar)</t>
  </si>
  <si>
    <t xml:space="preserve">Tabela anexada</t>
  </si>
  <si>
    <t xml:space="preserve">% relacionada</t>
  </si>
  <si>
    <t xml:space="preserve">1º passo: Projeto (definir o empreendimento)</t>
  </si>
  <si>
    <t xml:space="preserve">DUNAS</t>
  </si>
  <si>
    <t xml:space="preserve">2º passo: Mês de análise (definir o mês de referência)</t>
  </si>
  <si>
    <t xml:space="preserve">3º passo: Orçamento da obra projetado (com INCC no a realizar)</t>
  </si>
  <si>
    <t xml:space="preserve">Tipo do orçamento</t>
  </si>
  <si>
    <t xml:space="preserve">Orçamento executivo</t>
  </si>
  <si>
    <t xml:space="preserve">4º passo: Previsto do mês (incluir o % do cronograma)</t>
  </si>
  <si>
    <t xml:space="preserve">5º passo: Executado do mês (incluir o % medido)</t>
  </si>
  <si>
    <t xml:space="preserve">6º passo: Previsto acumulado do mês</t>
  </si>
  <si>
    <t xml:space="preserve">7º passo: Executado acumulado do mês</t>
  </si>
  <si>
    <t xml:space="preserve">8º passo: Crédito do orçamento (executado acumulado × orçamento)</t>
  </si>
  <si>
    <t xml:space="preserve">8º passo (cont.): Saldo de contrato (tabela)</t>
  </si>
  <si>
    <t xml:space="preserve">9º passo: Adiantamento de serviços não medidos (tabela)</t>
  </si>
  <si>
    <t xml:space="preserve">10º passo: Adiantamento de materiais não estocados (tabela)</t>
  </si>
  <si>
    <t xml:space="preserve">11º passo: Estoque de materiais (almoxarifado)</t>
  </si>
  <si>
    <t xml:space="preserve">12º passo: Equipamentos comprados (valor de mercado)</t>
  </si>
  <si>
    <t xml:space="preserve">13º passo: Receitas de personalizações (tabela)</t>
  </si>
  <si>
    <t xml:space="preserve">14º passo: Contas a pagar dos medidos (relatório a pagar)</t>
  </si>
  <si>
    <t xml:space="preserve">15º passo: Valor desembolsado pela obra (relatório conferido)</t>
  </si>
  <si>
    <t xml:space="preserve">Valor corrigido (sem os itens apontados irregularmente)</t>
  </si>
  <si>
    <t xml:space="preserve">16º passo: Dívida da obra a ser paga (outra obra da carteira)</t>
  </si>
  <si>
    <t xml:space="preserve">Saldo de contrato</t>
  </si>
  <si>
    <t xml:space="preserve">Adiantamento de materiais não estocados</t>
  </si>
  <si>
    <t xml:space="preserve">Desconto no contrato de esquadrias (abatido na medição)</t>
  </si>
  <si>
    <t xml:space="preserve">Total</t>
  </si>
  <si>
    <t xml:space="preserve">Adiantamento de serviços não medidos</t>
  </si>
  <si>
    <t xml:space="preserve">Estoque de materiais</t>
  </si>
  <si>
    <t xml:space="preserve">Aço CA-50 para blocos e baldrame</t>
  </si>
  <si>
    <t xml:space="preserve">Cimento e agregados</t>
  </si>
  <si>
    <t xml:space="preserve">Madeira para formas</t>
  </si>
  <si>
    <t xml:space="preserve">Equipamentos comprados</t>
  </si>
  <si>
    <t xml:space="preserve">Receitas de personalizações</t>
  </si>
  <si>
    <t xml:space="preserve">Betoneira 400 L</t>
  </si>
  <si>
    <t xml:space="preserve">Guincho de coluna</t>
  </si>
  <si>
    <t xml:space="preserve">Andaime fachadeiro (lote)</t>
  </si>
  <si>
    <t xml:space="preserve">Serra circular de bancada</t>
  </si>
  <si>
    <t xml:space="preserve">Contas a pagar dos medidos</t>
  </si>
  <si>
    <t xml:space="preserve">Itens apontados irregularmente no relatório</t>
  </si>
  <si>
    <t xml:space="preserve">Medição de fundação (estacas hélice) · NF 80381</t>
  </si>
  <si>
    <t xml:space="preserve">Concreto usinado dos blocos · NF 74147</t>
  </si>
  <si>
    <t xml:space="preserve">Encargos e INSS do mês · NF 50560</t>
  </si>
  <si>
    <t xml:space="preserve">Dívida da obra a ser paga</t>
  </si>
  <si>
    <t xml:space="preserve">RESULTADO PARA UTILIZAR NA APRESENTAÇÃO</t>
  </si>
  <si>
    <t xml:space="preserve">Tabela informativa do desembolso do mês</t>
  </si>
  <si>
    <t xml:space="preserve">Projeto</t>
  </si>
  <si>
    <t xml:space="preserve">Valor previsto para o mês</t>
  </si>
  <si>
    <t xml:space="preserve">Orçamento</t>
  </si>
  <si>
    <t xml:space="preserve">Valor desembolsado no mês</t>
  </si>
  <si>
    <t xml:space="preserve">Diferença entre o previsto e o desembolsado</t>
  </si>
  <si>
    <t xml:space="preserve">Mês</t>
  </si>
  <si>
    <t xml:space="preserve">Justificativa para diferença acima de 10% (obrigatória)</t>
  </si>
  <si>
    <t xml:space="preserve">% previsto do mês</t>
  </si>
  <si>
    <t xml:space="preserve">% executado do mês</t>
  </si>
  <si>
    <t xml:space="preserve">% previsto acumulado</t>
  </si>
  <si>
    <t xml:space="preserve">% executado acumulado</t>
  </si>
  <si>
    <t xml:space="preserve">01</t>
  </si>
  <si>
    <t xml:space="preserve">Crédito do orçamento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</si>
  <si>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</si>
  <si>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</si>
  <si>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</si>
  <si>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</si>
  <si>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</si>
  <si>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Equipamentos (valor de mercado)</t>
  </si>
  <si>
    <t xml:space="preserve">07</t>
  </si>
  <si>
    <t xml:space="preserve">Receita de personalizações</t>
  </si>
  <si>
    <t xml:space="preserve">08</t>
  </si>
  <si>
    <t xml:space="preserve">09</t>
  </si>
  <si>
    <t xml:space="preserve">Valor desembolsado (corrigido)</t>
  </si>
  <si>
    <t xml:space="preserve">10</t>
  </si>
  <si>
    <t xml:space="preserve">Resultado mensal da obra</t>
  </si>
  <si>
    <t xml:space="preserve">Resultado do mês anterior</t>
  </si>
  <si>
    <t xml:space="preserve">Significado de cada item</t>
  </si>
  <si>
    <t xml:space="preserve">Crédito do orçamento:</t>
  </si>
  <si>
    <t xml:space="preserve">Quanto a obra podia ter gasto pelo que executou: orçamento × executado acumulado.</t>
  </si>
  <si>
    <t xml:space="preserve">Saldo de contrato:</t>
  </si>
  <si>
    <t xml:space="preserve">Desconto obtido num contrato e ainda não realizado; abatido à medida que o serviço é medido.</t>
  </si>
  <si>
    <t xml:space="preserve">Adiantamento de serviços não medidos:</t>
  </si>
  <si>
    <t xml:space="preserve">Sinal pago de contrato ainda não medido (ex.: elevadores).</t>
  </si>
  <si>
    <t xml:space="preserve">Adiantamento de materiais não estocados:</t>
  </si>
  <si>
    <t xml:space="preserve">Material pago que ainda não chegou à obra (ex.: esquadrias).</t>
  </si>
  <si>
    <t xml:space="preserve">Estoque de materiais:</t>
  </si>
  <si>
    <t xml:space="preserve">Material no almoxarifado, ainda não aplicado, informado pelo almoxarife.</t>
  </si>
  <si>
    <t xml:space="preserve">Equipamentos (valor de mercado):</t>
  </si>
  <si>
    <t xml:space="preserve">Equipamento comprado pela obra e reaproveitável no fim, pelo valor de mercado.</t>
  </si>
  <si>
    <t xml:space="preserve">Receita de personalizações:</t>
  </si>
  <si>
    <t xml:space="preserve">Personalizações pagas pelos clientes, acumuladas até o fim da obra.</t>
  </si>
  <si>
    <t xml:space="preserve">Contas a pagar dos medidos:</t>
  </si>
  <si>
    <t xml:space="preserve">Serviço já medido e ainda a pagar (relatório de contas a pagar).</t>
  </si>
  <si>
    <t xml:space="preserve">Valor desembolsado pela obra:</t>
  </si>
  <si>
    <t xml:space="preserve">Desembolso acumulado desde o início, conferido e sem os itens apontados na obra errada.</t>
  </si>
  <si>
    <t xml:space="preserve">Dívida da obra a ser paga:</t>
  </si>
  <si>
    <t xml:space="preserve">Material de outra obra da carteira usado nesta: custo da obra, desconta do resultado (versão 01 da planilha).</t>
  </si>
  <si>
    <t xml:space="preserve">Medição de fundação (estacas hélice) · NF 30774</t>
  </si>
  <si>
    <t xml:space="preserve">Concreto usinado dos blocos · NF 33600</t>
  </si>
  <si>
    <t xml:space="preserve">Encargos e INSS do mês · NF 51288</t>
  </si>
  <si>
    <t xml:space="preserve">Reajuste de contrato de mão de obra pelo INCC.</t>
  </si>
  <si>
    <t xml:space="preserve">Medição de fundação (estacas hélice) · NF 10331</t>
  </si>
  <si>
    <t xml:space="preserve">Concreto usinado dos blocos · NF 97435</t>
  </si>
  <si>
    <t xml:space="preserve">Encargos e INSS do mês · NF 14558</t>
  </si>
  <si>
    <t xml:space="preserve">Aço CA-50/60 para lajes</t>
  </si>
  <si>
    <t xml:space="preserve">Formas e escoramento</t>
  </si>
  <si>
    <t xml:space="preserve">Blocos cerâmicos</t>
  </si>
  <si>
    <t xml:space="preserve">Material hidrossanitário</t>
  </si>
  <si>
    <t xml:space="preserve">Medição da empreiteira de estrutura · NF 93353</t>
  </si>
  <si>
    <t xml:space="preserve">Concreto usinado da laje · NF 58435</t>
  </si>
  <si>
    <t xml:space="preserve">Aluguel de escoramento · NF 43018</t>
  </si>
  <si>
    <t xml:space="preserve">Encargos e INSS do mês · NF 24224</t>
  </si>
  <si>
    <t xml:space="preserve">Esquadrias de alumínio · sinal de fabricação</t>
  </si>
  <si>
    <t xml:space="preserve">Medição da empreiteira de estrutura · NF 49267</t>
  </si>
  <si>
    <t xml:space="preserve">Concreto usinado da laje · NF 46175</t>
  </si>
  <si>
    <t xml:space="preserve">Aluguel de escoramento · NF 85391</t>
  </si>
  <si>
    <t xml:space="preserve">Encargos e INSS do mês · NF 67517</t>
  </si>
  <si>
    <t xml:space="preserve">Medição da empreiteira de estrutura · NF 55997</t>
  </si>
  <si>
    <t xml:space="preserve">Concreto usinado da laje · NF 99908</t>
  </si>
  <si>
    <t xml:space="preserve">Aluguel de escoramento · NF 59584</t>
  </si>
  <si>
    <t xml:space="preserve">Encargos e INSS do mês · NF 57586</t>
  </si>
  <si>
    <t xml:space="preserve">Aço CA-50 cedido pela PONTA NEGRA (2,1 t)</t>
  </si>
  <si>
    <t xml:space="preserve">Medição da empreiteira de estrutura · NF 73077</t>
  </si>
  <si>
    <t xml:space="preserve">Concreto usinado da laje · NF 36900</t>
  </si>
  <si>
    <t xml:space="preserve">Aluguel de escoramento · NF 38427</t>
  </si>
  <si>
    <t xml:space="preserve">Encargos e INSS do mês · NF 10703</t>
  </si>
  <si>
    <t xml:space="preserve">Medição da empreiteira de estrutura · NF 88292</t>
  </si>
  <si>
    <t xml:space="preserve">Concreto usinado da laje · NF 55017</t>
  </si>
  <si>
    <t xml:space="preserve">Aluguel de escoramento · NF 22336</t>
  </si>
  <si>
    <t xml:space="preserve">Encargos e INSS do mês · NF 64830</t>
  </si>
  <si>
    <t xml:space="preserve">Medição da empreiteira de estrutura · NF 37589</t>
  </si>
  <si>
    <t xml:space="preserve">Concreto usinado da laje · NF 28726</t>
  </si>
  <si>
    <t xml:space="preserve">Aluguel de escoramento · NF 7664</t>
  </si>
  <si>
    <t xml:space="preserve">Encargos e INSS do mês · NF 62369</t>
  </si>
  <si>
    <t xml:space="preserve">Argamassa industrializada</t>
  </si>
  <si>
    <t xml:space="preserve">Material elétrico (fios e cabos)</t>
  </si>
  <si>
    <t xml:space="preserve">Revestimento cerâmico (compra antecipada)</t>
  </si>
  <si>
    <t xml:space="preserve">Medição da empreiteira de alvenaria · NF 97528</t>
  </si>
  <si>
    <t xml:space="preserve">Medição de instalações hidráulicas · NF 89440</t>
  </si>
  <si>
    <t xml:space="preserve">Medição de instalações elétricas · NF 79476</t>
  </si>
  <si>
    <t xml:space="preserve">Encargos e INSS do mês · NF 18122</t>
  </si>
  <si>
    <t xml:space="preserve">Medição da empreiteira de alvenaria · NF 80686</t>
  </si>
  <si>
    <t xml:space="preserve">Medição de instalações hidráulicas · NF 76348</t>
  </si>
  <si>
    <t xml:space="preserve">Medição de instalações elétricas · NF 34982</t>
  </si>
  <si>
    <t xml:space="preserve">Encargos e INSS do mês · NF 91780</t>
  </si>
  <si>
    <t xml:space="preserve">Medição da empreiteira de alvenaria · NF 62077</t>
  </si>
  <si>
    <t xml:space="preserve">Medição de instalações hidráulicas · NF 67574</t>
  </si>
  <si>
    <t xml:space="preserve">Medição de instalações elétricas · NF 49430</t>
  </si>
  <si>
    <t xml:space="preserve">Encargos e INSS do mês · NF 66540</t>
  </si>
  <si>
    <t xml:space="preserve">Medição da empreiteira de alvenaria · NF 8456</t>
  </si>
  <si>
    <t xml:space="preserve">Medição de instalações hidráulicas · NF 31175</t>
  </si>
  <si>
    <t xml:space="preserve">Medição de instalações elétricas · NF 24763</t>
  </si>
  <si>
    <t xml:space="preserve">Encargos e INSS do mês · NF 21488</t>
  </si>
</sst>
</file>

<file path=xl/styles.xml><?xml version="1.0" encoding="utf-8"?>
<styleSheet xmlns="http://schemas.openxmlformats.org/spreadsheetml/2006/main">
  <numFmts count="3">
    <numFmt numFmtId="164" formatCode="General"/>
    <numFmt numFmtId="166" formatCode="#,##0.00;[RED]\-#,##0.00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45901</v>
      </c>
    </row>
    <row r="28" customFormat="false" ht="15" hidden="false" customHeight="false" outlineLevel="0" collapsed="false">
      <c r="B28" s="0" t="s">
        <v>14</v>
      </c>
      <c r="J28" s="8" t="n">
        <v>27900000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0.0381</v>
      </c>
    </row>
    <row r="33" customFormat="false" ht="15" hidden="false" customHeight="false" outlineLevel="0" collapsed="false">
      <c r="B33" s="0" t="s">
        <v>18</v>
      </c>
      <c r="F33" s="9" t="n">
        <v>0.0315</v>
      </c>
    </row>
    <row r="35" customFormat="false" ht="15" hidden="false" customHeight="false" outlineLevel="0" collapsed="false">
      <c r="B35" s="0" t="s">
        <v>19</v>
      </c>
      <c r="F35" s="9" t="n">
        <v>0.1562</v>
      </c>
    </row>
    <row r="37" customFormat="false" ht="15" hidden="false" customHeight="false" outlineLevel="0" collapsed="false">
      <c r="B37" s="0" t="s">
        <v>20</v>
      </c>
      <c r="F37" s="9" t="n">
        <v>0.1066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2974140</v>
      </c>
    </row>
    <row r="41" customFormat="false" ht="15" hidden="false" customHeight="false" outlineLevel="0" collapsed="false">
      <c r="B41" s="0" t="s">
        <v>22</v>
      </c>
      <c r="F41" s="10" t="n">
        <f aca="false">E74</f>
        <v>210000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134623.66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227805.45</v>
      </c>
    </row>
    <row r="55" customFormat="false" ht="15" hidden="false" customHeight="false" outlineLevel="0" collapsed="false">
      <c r="B55" s="0" t="s">
        <v>29</v>
      </c>
      <c r="F55" s="8" t="n">
        <v>3004880.71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3004880.71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210000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210000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38</v>
      </c>
      <c r="J78" s="12" t="n">
        <v>50670.25</v>
      </c>
    </row>
    <row r="79" customFormat="false" ht="15" hidden="false" customHeight="false" outlineLevel="0" collapsed="false">
      <c r="G79" s="0" t="s">
        <v>39</v>
      </c>
      <c r="J79" s="12" t="n">
        <v>37757.05</v>
      </c>
    </row>
    <row r="80" customFormat="false" ht="15" hidden="false" customHeight="false" outlineLevel="0" collapsed="false">
      <c r="G80" s="0" t="s">
        <v>40</v>
      </c>
      <c r="J80" s="12" t="n">
        <v>46196.36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134623.66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49</v>
      </c>
      <c r="E106" s="12" t="n">
        <v>73140.41</v>
      </c>
    </row>
    <row r="107" customFormat="false" ht="15" hidden="false" customHeight="false" outlineLevel="0" collapsed="false">
      <c r="B107" s="0" t="s">
        <v>50</v>
      </c>
      <c r="E107" s="12" t="n">
        <v>51682.53</v>
      </c>
    </row>
    <row r="108" customFormat="false" ht="15" hidden="false" customHeight="false" outlineLevel="0" collapsed="false">
      <c r="B108" s="0" t="s">
        <v>51</v>
      </c>
      <c r="E108" s="12" t="n">
        <v>102982.51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227805.45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808628.48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27900000</v>
      </c>
      <c r="G137" s="15" t="s">
        <v>58</v>
      </c>
      <c r="J137" s="8" t="n">
        <v>842358.17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33729.6900000001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45901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0.0381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0.0315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0.1562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0.1066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2974140</v>
      </c>
      <c r="E145" s="18" t="n">
        <f aca="false">D145/$D$137</f>
        <v>0.1066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210000</v>
      </c>
      <c r="E146" s="18" t="n">
        <f aca="false">D146/$D$137</f>
        <v>0.00752688172043011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134623.66</v>
      </c>
      <c r="E149" s="18" t="n">
        <f aca="false">D149/$D$137</f>
        <v>0.00482522078853047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0.00425448028673835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227805.45</v>
      </c>
      <c r="E152" s="18" t="n">
        <f aca="false">D152/$D$137</f>
        <v>0.00816506989247312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3004880.71</v>
      </c>
      <c r="E153" s="18" t="n">
        <f aca="false">D153/$D$137</f>
        <v>0.107701817562724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204777.5</v>
      </c>
      <c r="E155" s="19" t="n">
        <f aca="false">D155/D137</f>
        <v>0.00733969534050179</v>
      </c>
    </row>
    <row r="156" customFormat="false" ht="15" hidden="false" customHeight="false" outlineLevel="0" collapsed="false">
      <c r="C156" s="0" t="s">
        <v>81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45931</v>
      </c>
    </row>
    <row r="28" customFormat="false" ht="15" hidden="false" customHeight="false" outlineLevel="0" collapsed="false">
      <c r="B28" s="0" t="s">
        <v>14</v>
      </c>
      <c r="J28" s="8" t="n">
        <v>28017180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0.0421</v>
      </c>
    </row>
    <row r="33" customFormat="false" ht="15" hidden="false" customHeight="false" outlineLevel="0" collapsed="false">
      <c r="B33" s="0" t="s">
        <v>18</v>
      </c>
      <c r="F33" s="9" t="n">
        <v>0.0411</v>
      </c>
    </row>
    <row r="35" customFormat="false" ht="15" hidden="false" customHeight="false" outlineLevel="0" collapsed="false">
      <c r="B35" s="0" t="s">
        <v>19</v>
      </c>
      <c r="F35" s="9" t="n">
        <v>0.1983</v>
      </c>
    </row>
    <row r="37" customFormat="false" ht="15" hidden="false" customHeight="false" outlineLevel="0" collapsed="false">
      <c r="B37" s="0" t="s">
        <v>20</v>
      </c>
      <c r="F37" s="9" t="n">
        <v>0.1477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4138137.486</v>
      </c>
    </row>
    <row r="41" customFormat="false" ht="15" hidden="false" customHeight="false" outlineLevel="0" collapsed="false">
      <c r="B41" s="0" t="s">
        <v>22</v>
      </c>
      <c r="F41" s="10" t="n">
        <f aca="false">E74</f>
        <v>195000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160312.03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254126.57</v>
      </c>
    </row>
    <row r="55" customFormat="false" ht="15" hidden="false" customHeight="false" outlineLevel="0" collapsed="false">
      <c r="B55" s="0" t="s">
        <v>29</v>
      </c>
      <c r="F55" s="8" t="n">
        <v>4207783.68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4207783.68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195000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195000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38</v>
      </c>
      <c r="J78" s="12" t="n">
        <v>56851.08</v>
      </c>
    </row>
    <row r="79" customFormat="false" ht="15" hidden="false" customHeight="false" outlineLevel="0" collapsed="false">
      <c r="G79" s="0" t="s">
        <v>39</v>
      </c>
      <c r="J79" s="12" t="n">
        <v>55884.09</v>
      </c>
    </row>
    <row r="80" customFormat="false" ht="15" hidden="false" customHeight="false" outlineLevel="0" collapsed="false">
      <c r="G80" s="0" t="s">
        <v>40</v>
      </c>
      <c r="J80" s="12" t="n">
        <v>47576.86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160312.03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103</v>
      </c>
      <c r="E106" s="12" t="n">
        <v>86999.37</v>
      </c>
    </row>
    <row r="107" customFormat="false" ht="15" hidden="false" customHeight="false" outlineLevel="0" collapsed="false">
      <c r="B107" s="0" t="s">
        <v>104</v>
      </c>
      <c r="E107" s="12" t="n">
        <v>93410.79</v>
      </c>
    </row>
    <row r="108" customFormat="false" ht="15" hidden="false" customHeight="false" outlineLevel="0" collapsed="false">
      <c r="B108" s="0" t="s">
        <v>105</v>
      </c>
      <c r="E108" s="12" t="n">
        <v>73716.41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254126.57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1090275.12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28017180</v>
      </c>
      <c r="G137" s="15" t="s">
        <v>58</v>
      </c>
      <c r="J137" s="8" t="n">
        <v>1202902.97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112627.85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45931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0.0421</v>
      </c>
      <c r="G140" s="20" t="s">
        <v>106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0.0411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0.1983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0.1477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4138137.486</v>
      </c>
      <c r="E145" s="18" t="n">
        <f aca="false">D145/$D$137</f>
        <v>0.1477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195000</v>
      </c>
      <c r="E146" s="18" t="n">
        <f aca="false">D146/$D$137</f>
        <v>0.00696001524778725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160312.03</v>
      </c>
      <c r="E149" s="18" t="n">
        <f aca="false">D149/$D$137</f>
        <v>0.00572191883694219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0.0042366862046787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254126.57</v>
      </c>
      <c r="E152" s="18" t="n">
        <f aca="false">D152/$D$137</f>
        <v>0.00907038360034807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4207783.68</v>
      </c>
      <c r="E153" s="18" t="n">
        <f aca="false">D153/$D$137</f>
        <v>0.150185838831745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150239.266</v>
      </c>
      <c r="E155" s="19" t="n">
        <f aca="false">D155/D137</f>
        <v>0.00536239785731468</v>
      </c>
    </row>
    <row r="156" customFormat="false" ht="15" hidden="false" customHeight="false" outlineLevel="0" collapsed="false">
      <c r="C156" s="0" t="s">
        <v>81</v>
      </c>
      <c r="D156" s="10" t="n">
        <f aca="false">SET25!D155</f>
        <v>204777.5</v>
      </c>
      <c r="E156" s="17" t="n">
        <f aca="false">SET25!E155</f>
        <v>0.00733969534050179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45962</v>
      </c>
    </row>
    <row r="28" customFormat="false" ht="15" hidden="false" customHeight="false" outlineLevel="0" collapsed="false">
      <c r="B28" s="0" t="s">
        <v>14</v>
      </c>
      <c r="J28" s="8" t="n">
        <v>28134360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0.0452</v>
      </c>
    </row>
    <row r="33" customFormat="false" ht="15" hidden="false" customHeight="false" outlineLevel="0" collapsed="false">
      <c r="B33" s="0" t="s">
        <v>18</v>
      </c>
      <c r="F33" s="9" t="n">
        <v>0.0469</v>
      </c>
    </row>
    <row r="35" customFormat="false" ht="15" hidden="false" customHeight="false" outlineLevel="0" collapsed="false">
      <c r="B35" s="0" t="s">
        <v>19</v>
      </c>
      <c r="F35" s="9" t="n">
        <v>0.2435</v>
      </c>
    </row>
    <row r="37" customFormat="false" ht="15" hidden="false" customHeight="false" outlineLevel="0" collapsed="false">
      <c r="B37" s="0" t="s">
        <v>20</v>
      </c>
      <c r="F37" s="9" t="n">
        <v>0.1946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5474946.456</v>
      </c>
    </row>
    <row r="41" customFormat="false" ht="15" hidden="false" customHeight="false" outlineLevel="0" collapsed="false">
      <c r="B41" s="0" t="s">
        <v>22</v>
      </c>
      <c r="F41" s="10" t="n">
        <f aca="false">E74</f>
        <v>180000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153697.59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234857.46</v>
      </c>
    </row>
    <row r="55" customFormat="false" ht="15" hidden="false" customHeight="false" outlineLevel="0" collapsed="false">
      <c r="B55" s="0" t="s">
        <v>29</v>
      </c>
      <c r="F55" s="8" t="n">
        <v>5590400.69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5590400.69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180000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180000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38</v>
      </c>
      <c r="J78" s="12" t="n">
        <v>31463.63</v>
      </c>
    </row>
    <row r="79" customFormat="false" ht="15" hidden="false" customHeight="false" outlineLevel="0" collapsed="false">
      <c r="G79" s="0" t="s">
        <v>39</v>
      </c>
      <c r="J79" s="12" t="n">
        <v>63027.77</v>
      </c>
    </row>
    <row r="80" customFormat="false" ht="15" hidden="false" customHeight="false" outlineLevel="0" collapsed="false">
      <c r="G80" s="0" t="s">
        <v>40</v>
      </c>
      <c r="J80" s="12" t="n">
        <v>59206.19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153697.59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107</v>
      </c>
      <c r="E106" s="12" t="n">
        <v>66353.61</v>
      </c>
    </row>
    <row r="107" customFormat="false" ht="15" hidden="false" customHeight="false" outlineLevel="0" collapsed="false">
      <c r="B107" s="0" t="s">
        <v>108</v>
      </c>
      <c r="E107" s="12" t="n">
        <v>82446.56</v>
      </c>
    </row>
    <row r="108" customFormat="false" ht="15" hidden="false" customHeight="false" outlineLevel="0" collapsed="false">
      <c r="B108" s="0" t="s">
        <v>109</v>
      </c>
      <c r="E108" s="12" t="n">
        <v>86057.29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234857.46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1233553.66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28134360</v>
      </c>
      <c r="G137" s="15" t="s">
        <v>58</v>
      </c>
      <c r="J137" s="8" t="n">
        <v>1382617.01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149063.35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45962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0.0452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0.0469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0.2435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0.1946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5474946.456</v>
      </c>
      <c r="E145" s="18" t="n">
        <f aca="false">D145/$D$137</f>
        <v>0.1946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180000</v>
      </c>
      <c r="E146" s="18" t="n">
        <f aca="false">D146/$D$137</f>
        <v>0.00639787078860155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153697.59</v>
      </c>
      <c r="E149" s="18" t="n">
        <f aca="false">D149/$D$137</f>
        <v>0.00546298511855255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0.00421904034781669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234857.46</v>
      </c>
      <c r="E152" s="18" t="n">
        <f aca="false">D152/$D$137</f>
        <v>0.00834770934899532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5590400.69</v>
      </c>
      <c r="E153" s="18" t="n">
        <f aca="false">D153/$D$137</f>
        <v>0.198703673728494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102085.896</v>
      </c>
      <c r="E155" s="19" t="n">
        <f aca="false">D155/D137</f>
        <v>0.00362851317748119</v>
      </c>
    </row>
    <row r="156" customFormat="false" ht="15" hidden="false" customHeight="false" outlineLevel="0" collapsed="false">
      <c r="C156" s="0" t="s">
        <v>81</v>
      </c>
      <c r="D156" s="10" t="n">
        <f aca="false">OUT25!D155</f>
        <v>150239.266</v>
      </c>
      <c r="E156" s="17" t="n">
        <f aca="false">OUT25!E155</f>
        <v>0.00536239785731468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45992</v>
      </c>
    </row>
    <row r="28" customFormat="false" ht="15" hidden="false" customHeight="false" outlineLevel="0" collapsed="false">
      <c r="B28" s="0" t="s">
        <v>14</v>
      </c>
      <c r="J28" s="8" t="n">
        <v>28251540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0.048</v>
      </c>
    </row>
    <row r="33" customFormat="false" ht="15" hidden="false" customHeight="false" outlineLevel="0" collapsed="false">
      <c r="B33" s="0" t="s">
        <v>18</v>
      </c>
      <c r="F33" s="9" t="n">
        <v>0.0498</v>
      </c>
    </row>
    <row r="35" customFormat="false" ht="15" hidden="false" customHeight="false" outlineLevel="0" collapsed="false">
      <c r="B35" s="0" t="s">
        <v>19</v>
      </c>
      <c r="F35" s="9" t="n">
        <v>0.2915</v>
      </c>
    </row>
    <row r="37" customFormat="false" ht="15" hidden="false" customHeight="false" outlineLevel="0" collapsed="false">
      <c r="B37" s="0" t="s">
        <v>20</v>
      </c>
      <c r="F37" s="9" t="n">
        <v>0.2444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6904676.376</v>
      </c>
    </row>
    <row r="41" customFormat="false" ht="15" hidden="false" customHeight="false" outlineLevel="0" collapsed="false">
      <c r="B41" s="0" t="s">
        <v>22</v>
      </c>
      <c r="F41" s="10" t="n">
        <f aca="false">E74</f>
        <v>165000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301634.7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336228.39</v>
      </c>
    </row>
    <row r="55" customFormat="false" ht="15" hidden="false" customHeight="false" outlineLevel="0" collapsed="false">
      <c r="B55" s="0" t="s">
        <v>29</v>
      </c>
      <c r="F55" s="8" t="n">
        <v>7093427.35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7093427.35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165000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165000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110</v>
      </c>
      <c r="J78" s="12" t="n">
        <v>62589.93</v>
      </c>
    </row>
    <row r="79" customFormat="false" ht="15" hidden="false" customHeight="false" outlineLevel="0" collapsed="false">
      <c r="G79" s="0" t="s">
        <v>111</v>
      </c>
      <c r="J79" s="12" t="n">
        <v>122467.76</v>
      </c>
    </row>
    <row r="80" customFormat="false" ht="15" hidden="false" customHeight="false" outlineLevel="0" collapsed="false">
      <c r="G80" s="0" t="s">
        <v>112</v>
      </c>
      <c r="J80" s="12" t="n">
        <v>56567.66</v>
      </c>
    </row>
    <row r="81" customFormat="false" ht="15" hidden="false" customHeight="false" outlineLevel="0" collapsed="false">
      <c r="G81" s="0" t="s">
        <v>113</v>
      </c>
      <c r="J81" s="12" t="n">
        <v>60009.35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301634.7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114</v>
      </c>
      <c r="E106" s="12" t="n">
        <v>89736.75</v>
      </c>
    </row>
    <row r="107" customFormat="false" ht="15" hidden="false" customHeight="false" outlineLevel="0" collapsed="false">
      <c r="B107" s="0" t="s">
        <v>115</v>
      </c>
      <c r="E107" s="12" t="n">
        <v>98287.44</v>
      </c>
    </row>
    <row r="108" customFormat="false" ht="15" hidden="false" customHeight="false" outlineLevel="0" collapsed="false">
      <c r="B108" s="0" t="s">
        <v>116</v>
      </c>
      <c r="E108" s="12" t="n">
        <v>47580.71</v>
      </c>
    </row>
    <row r="109" customFormat="false" ht="15" hidden="false" customHeight="false" outlineLevel="0" collapsed="false">
      <c r="B109" s="0" t="s">
        <v>117</v>
      </c>
      <c r="E109" s="12" t="n">
        <v>100623.49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336228.39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1394466.26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28251540</v>
      </c>
      <c r="G137" s="15" t="s">
        <v>58</v>
      </c>
      <c r="J137" s="8" t="n">
        <v>1503026.66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108560.4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45992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0.048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0.0498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0.2915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0.2444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6904676.376</v>
      </c>
      <c r="E145" s="18" t="n">
        <f aca="false">D145/$D$137</f>
        <v>0.2444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165000</v>
      </c>
      <c r="E146" s="18" t="n">
        <f aca="false">D146/$D$137</f>
        <v>0.00584038958584205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301634.7</v>
      </c>
      <c r="E149" s="18" t="n">
        <f aca="false">D149/$D$137</f>
        <v>0.0106767524885369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0.00420154087175425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336228.39</v>
      </c>
      <c r="E152" s="18" t="n">
        <f aca="false">D152/$D$137</f>
        <v>0.0119012411358814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7093427.35</v>
      </c>
      <c r="E153" s="18" t="n">
        <f aca="false">D153/$D$137</f>
        <v>0.251081086199195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60355.3360000011</v>
      </c>
      <c r="E155" s="19" t="n">
        <f aca="false">D155/D137</f>
        <v>0.00213635561105699</v>
      </c>
    </row>
    <row r="156" customFormat="false" ht="15" hidden="false" customHeight="false" outlineLevel="0" collapsed="false">
      <c r="C156" s="0" t="s">
        <v>81</v>
      </c>
      <c r="D156" s="10" t="n">
        <f aca="false">NOV25!D155</f>
        <v>102085.896</v>
      </c>
      <c r="E156" s="17" t="n">
        <f aca="false">NOV25!E155</f>
        <v>0.00362851317748119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46023</v>
      </c>
    </row>
    <row r="28" customFormat="false" ht="15" hidden="false" customHeight="false" outlineLevel="0" collapsed="false">
      <c r="B28" s="0" t="s">
        <v>14</v>
      </c>
      <c r="J28" s="8" t="n">
        <v>28368720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0.0502</v>
      </c>
    </row>
    <row r="33" customFormat="false" ht="15" hidden="false" customHeight="false" outlineLevel="0" collapsed="false">
      <c r="B33" s="0" t="s">
        <v>18</v>
      </c>
      <c r="F33" s="9" t="n">
        <v>0.0532</v>
      </c>
    </row>
    <row r="35" customFormat="false" ht="15" hidden="false" customHeight="false" outlineLevel="0" collapsed="false">
      <c r="B35" s="0" t="s">
        <v>19</v>
      </c>
      <c r="F35" s="9" t="n">
        <v>0.3417</v>
      </c>
    </row>
    <row r="37" customFormat="false" ht="15" hidden="false" customHeight="false" outlineLevel="0" collapsed="false">
      <c r="B37" s="0" t="s">
        <v>20</v>
      </c>
      <c r="F37" s="9" t="n">
        <v>0.2976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8442531.072</v>
      </c>
    </row>
    <row r="41" customFormat="false" ht="15" hidden="false" customHeight="false" outlineLevel="0" collapsed="false">
      <c r="B41" s="0" t="s">
        <v>22</v>
      </c>
      <c r="F41" s="10" t="n">
        <f aca="false">E74</f>
        <v>150000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141843.6</v>
      </c>
    </row>
    <row r="47" customFormat="false" ht="15" hidden="false" customHeight="false" outlineLevel="0" collapsed="false">
      <c r="B47" s="0" t="s">
        <v>25</v>
      </c>
      <c r="F47" s="10" t="n">
        <f aca="false">J88</f>
        <v>325198.55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305146.22</v>
      </c>
    </row>
    <row r="55" customFormat="false" ht="15" hidden="false" customHeight="false" outlineLevel="0" collapsed="false">
      <c r="B55" s="0" t="s">
        <v>29</v>
      </c>
      <c r="F55" s="8" t="n">
        <v>8847627.48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8847627.48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150000</v>
      </c>
      <c r="G64" s="15" t="s">
        <v>118</v>
      </c>
      <c r="J64" s="12" t="n">
        <v>141843.6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150000</v>
      </c>
      <c r="G74" s="13" t="s">
        <v>35</v>
      </c>
      <c r="J74" s="14" t="n">
        <f aca="false">SUM(J64:J73)</f>
        <v>141843.6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110</v>
      </c>
      <c r="J78" s="12" t="n">
        <v>68673.06</v>
      </c>
    </row>
    <row r="79" customFormat="false" ht="15" hidden="false" customHeight="false" outlineLevel="0" collapsed="false">
      <c r="G79" s="0" t="s">
        <v>111</v>
      </c>
      <c r="J79" s="12" t="n">
        <v>74778.39</v>
      </c>
    </row>
    <row r="80" customFormat="false" ht="15" hidden="false" customHeight="false" outlineLevel="0" collapsed="false">
      <c r="G80" s="0" t="s">
        <v>112</v>
      </c>
      <c r="J80" s="12" t="n">
        <v>99447.99</v>
      </c>
    </row>
    <row r="81" customFormat="false" ht="15" hidden="false" customHeight="false" outlineLevel="0" collapsed="false">
      <c r="G81" s="0" t="s">
        <v>113</v>
      </c>
      <c r="J81" s="12" t="n">
        <v>82299.11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325198.55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119</v>
      </c>
      <c r="E106" s="12" t="n">
        <v>63953.74</v>
      </c>
    </row>
    <row r="107" customFormat="false" ht="15" hidden="false" customHeight="false" outlineLevel="0" collapsed="false">
      <c r="B107" s="0" t="s">
        <v>120</v>
      </c>
      <c r="E107" s="12" t="n">
        <v>105398.06</v>
      </c>
    </row>
    <row r="108" customFormat="false" ht="15" hidden="false" customHeight="false" outlineLevel="0" collapsed="false">
      <c r="B108" s="0" t="s">
        <v>121</v>
      </c>
      <c r="E108" s="12" t="n">
        <v>48079.55</v>
      </c>
    </row>
    <row r="109" customFormat="false" ht="15" hidden="false" customHeight="false" outlineLevel="0" collapsed="false">
      <c r="B109" s="0" t="s">
        <v>122</v>
      </c>
      <c r="E109" s="12" t="n">
        <v>87714.87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305146.22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1645991.76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28368720</v>
      </c>
      <c r="G137" s="15" t="s">
        <v>58</v>
      </c>
      <c r="J137" s="8" t="n">
        <v>1754200.13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108208.37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46023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0.0502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0.0532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0.3417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0.2976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8442531.072</v>
      </c>
      <c r="E145" s="18" t="n">
        <f aca="false">D145/$D$137</f>
        <v>0.2976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150000</v>
      </c>
      <c r="E146" s="18" t="n">
        <f aca="false">D146/$D$137</f>
        <v>0.0052875138532863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141843.6</v>
      </c>
      <c r="E148" s="18" t="n">
        <f aca="false">D148/$D$137</f>
        <v>0.005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325198.55</v>
      </c>
      <c r="E149" s="18" t="n">
        <f aca="false">D149/$D$137</f>
        <v>0.0114632789212908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0.00418418596256722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305146.22</v>
      </c>
      <c r="E152" s="18" t="n">
        <f aca="false">D152/$D$137</f>
        <v>0.010756432436853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8847627.48</v>
      </c>
      <c r="E153" s="18" t="n">
        <f aca="false">D153/$D$137</f>
        <v>0.311879685794777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25499.521999998</v>
      </c>
      <c r="E155" s="19" t="n">
        <f aca="false">D155/D137</f>
        <v>0.000898860505514455</v>
      </c>
    </row>
    <row r="156" customFormat="false" ht="15" hidden="false" customHeight="false" outlineLevel="0" collapsed="false">
      <c r="C156" s="0" t="s">
        <v>81</v>
      </c>
      <c r="D156" s="10" t="n">
        <f aca="false">DEZ25!D155</f>
        <v>60355.3360000011</v>
      </c>
      <c r="E156" s="17" t="n">
        <f aca="false">DEZ25!E155</f>
        <v>0.00213635561105699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46054</v>
      </c>
    </row>
    <row r="28" customFormat="false" ht="15" hidden="false" customHeight="false" outlineLevel="0" collapsed="false">
      <c r="B28" s="0" t="s">
        <v>14</v>
      </c>
      <c r="J28" s="8" t="n">
        <v>28485900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0.0519</v>
      </c>
    </row>
    <row r="33" customFormat="false" ht="15" hidden="false" customHeight="false" outlineLevel="0" collapsed="false">
      <c r="B33" s="0" t="s">
        <v>18</v>
      </c>
      <c r="F33" s="9" t="n">
        <v>0.0509</v>
      </c>
    </row>
    <row r="35" customFormat="false" ht="15" hidden="false" customHeight="false" outlineLevel="0" collapsed="false">
      <c r="B35" s="0" t="s">
        <v>19</v>
      </c>
      <c r="F35" s="9" t="n">
        <v>0.3936</v>
      </c>
    </row>
    <row r="37" customFormat="false" ht="15" hidden="false" customHeight="false" outlineLevel="0" collapsed="false">
      <c r="B37" s="0" t="s">
        <v>20</v>
      </c>
      <c r="F37" s="9" t="n">
        <v>0.3485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9927336.15</v>
      </c>
    </row>
    <row r="41" customFormat="false" ht="15" hidden="false" customHeight="false" outlineLevel="0" collapsed="false">
      <c r="B41" s="0" t="s">
        <v>22</v>
      </c>
      <c r="F41" s="10" t="n">
        <f aca="false">E74</f>
        <v>135000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142429.5</v>
      </c>
    </row>
    <row r="47" customFormat="false" ht="15" hidden="false" customHeight="false" outlineLevel="0" collapsed="false">
      <c r="B47" s="0" t="s">
        <v>25</v>
      </c>
      <c r="F47" s="10" t="n">
        <f aca="false">J88</f>
        <v>244180.19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231994.44</v>
      </c>
    </row>
    <row r="55" customFormat="false" ht="15" hidden="false" customHeight="false" outlineLevel="0" collapsed="false">
      <c r="B55" s="0" t="s">
        <v>29</v>
      </c>
      <c r="F55" s="8" t="n">
        <v>10291318.68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10291318.68</v>
      </c>
    </row>
    <row r="58" customFormat="false" ht="15" hidden="false" customHeight="false" outlineLevel="0" collapsed="false">
      <c r="B58" s="0" t="s">
        <v>31</v>
      </c>
      <c r="F58" s="10" t="n">
        <f aca="false">E129</f>
        <v>41700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135000</v>
      </c>
      <c r="G64" s="15" t="s">
        <v>118</v>
      </c>
      <c r="J64" s="12" t="n">
        <v>142429.5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135000</v>
      </c>
      <c r="G74" s="13" t="s">
        <v>35</v>
      </c>
      <c r="J74" s="14" t="n">
        <f aca="false">SUM(J64:J73)</f>
        <v>142429.5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110</v>
      </c>
      <c r="J78" s="12" t="n">
        <v>53619.16</v>
      </c>
    </row>
    <row r="79" customFormat="false" ht="15" hidden="false" customHeight="false" outlineLevel="0" collapsed="false">
      <c r="G79" s="0" t="s">
        <v>111</v>
      </c>
      <c r="J79" s="12" t="n">
        <v>67056.76</v>
      </c>
    </row>
    <row r="80" customFormat="false" ht="15" hidden="false" customHeight="false" outlineLevel="0" collapsed="false">
      <c r="G80" s="0" t="s">
        <v>112</v>
      </c>
      <c r="J80" s="12" t="n">
        <v>73909.36</v>
      </c>
    </row>
    <row r="81" customFormat="false" ht="15" hidden="false" customHeight="false" outlineLevel="0" collapsed="false">
      <c r="G81" s="0" t="s">
        <v>113</v>
      </c>
      <c r="J81" s="12" t="n">
        <v>49594.91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244180.19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123</v>
      </c>
      <c r="E106" s="12" t="n">
        <v>53466.58</v>
      </c>
    </row>
    <row r="107" customFormat="false" ht="15" hidden="false" customHeight="false" outlineLevel="0" collapsed="false">
      <c r="B107" s="0" t="s">
        <v>124</v>
      </c>
      <c r="E107" s="12" t="n">
        <v>64937.8</v>
      </c>
    </row>
    <row r="108" customFormat="false" ht="15" hidden="false" customHeight="false" outlineLevel="0" collapsed="false">
      <c r="B108" s="0" t="s">
        <v>125</v>
      </c>
      <c r="E108" s="12" t="n">
        <v>59866.11</v>
      </c>
    </row>
    <row r="109" customFormat="false" ht="15" hidden="false" customHeight="false" outlineLevel="0" collapsed="false">
      <c r="B109" s="0" t="s">
        <v>126</v>
      </c>
      <c r="E109" s="12" t="n">
        <v>53723.95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231994.44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19" customFormat="false" ht="15" hidden="false" customHeight="false" outlineLevel="0" collapsed="false">
      <c r="B119" s="0" t="s">
        <v>127</v>
      </c>
      <c r="E119" s="12" t="n">
        <v>41700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41700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1360252.78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28485900</v>
      </c>
      <c r="G137" s="15" t="s">
        <v>58</v>
      </c>
      <c r="J137" s="8" t="n">
        <v>1443691.2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83438.4199999999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46054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0.0519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0.0509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0.3936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0.3485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9927336.15</v>
      </c>
      <c r="E145" s="18" t="n">
        <f aca="false">D145/$D$137</f>
        <v>0.3485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135000</v>
      </c>
      <c r="E146" s="18" t="n">
        <f aca="false">D146/$D$137</f>
        <v>0.00473918675555275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142429.5</v>
      </c>
      <c r="E148" s="18" t="n">
        <f aca="false">D148/$D$137</f>
        <v>0.005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244180.19</v>
      </c>
      <c r="E149" s="18" t="n">
        <f aca="false">D149/$D$137</f>
        <v>0.00857196683271373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0.0041669738361786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231994.44</v>
      </c>
      <c r="E152" s="18" t="n">
        <f aca="false">D152/$D$137</f>
        <v>0.00814418501785094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10291318.68</v>
      </c>
      <c r="E153" s="18" t="n">
        <f aca="false">D153/$D$137</f>
        <v>0.361277638410582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41700</v>
      </c>
      <c r="E154" s="18" t="n">
        <f aca="false">D154/$D$137</f>
        <v>0.00146388213115963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2632.71999999881</v>
      </c>
      <c r="E155" s="19" t="n">
        <f aca="false">D155/D137</f>
        <v>9.24218648523939E-005</v>
      </c>
    </row>
    <row r="156" customFormat="false" ht="15" hidden="false" customHeight="false" outlineLevel="0" collapsed="false">
      <c r="C156" s="0" t="s">
        <v>81</v>
      </c>
      <c r="D156" s="10" t="n">
        <f aca="false">JAN26!D155</f>
        <v>25499.521999998</v>
      </c>
      <c r="E156" s="17" t="n">
        <f aca="false">JAN26!E155</f>
        <v>0.000898860505514455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46082</v>
      </c>
    </row>
    <row r="28" customFormat="false" ht="15" hidden="false" customHeight="false" outlineLevel="0" collapsed="false">
      <c r="B28" s="0" t="s">
        <v>14</v>
      </c>
      <c r="J28" s="8" t="n">
        <v>28603080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0.0529</v>
      </c>
    </row>
    <row r="33" customFormat="false" ht="15" hidden="false" customHeight="false" outlineLevel="0" collapsed="false">
      <c r="B33" s="0" t="s">
        <v>18</v>
      </c>
      <c r="F33" s="9" t="n">
        <v>0.0453</v>
      </c>
    </row>
    <row r="35" customFormat="false" ht="15" hidden="false" customHeight="false" outlineLevel="0" collapsed="false">
      <c r="B35" s="0" t="s">
        <v>19</v>
      </c>
      <c r="F35" s="9" t="n">
        <v>0.4465</v>
      </c>
    </row>
    <row r="37" customFormat="false" ht="15" hidden="false" customHeight="false" outlineLevel="0" collapsed="false">
      <c r="B37" s="0" t="s">
        <v>20</v>
      </c>
      <c r="F37" s="9" t="n">
        <v>0.3938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11263892.904</v>
      </c>
    </row>
    <row r="41" customFormat="false" ht="15" hidden="false" customHeight="false" outlineLevel="0" collapsed="false">
      <c r="B41" s="0" t="s">
        <v>22</v>
      </c>
      <c r="F41" s="10" t="n">
        <f aca="false">E74</f>
        <v>120000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85809.24</v>
      </c>
    </row>
    <row r="47" customFormat="false" ht="15" hidden="false" customHeight="false" outlineLevel="0" collapsed="false">
      <c r="B47" s="0" t="s">
        <v>25</v>
      </c>
      <c r="F47" s="10" t="n">
        <f aca="false">J88</f>
        <v>333039.74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313548.45</v>
      </c>
    </row>
    <row r="55" customFormat="false" ht="15" hidden="false" customHeight="false" outlineLevel="0" collapsed="false">
      <c r="B55" s="0" t="s">
        <v>29</v>
      </c>
      <c r="F55" s="8" t="n">
        <v>11573027.88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11573027.88</v>
      </c>
    </row>
    <row r="58" customFormat="false" ht="15" hidden="false" customHeight="false" outlineLevel="0" collapsed="false">
      <c r="B58" s="0" t="s">
        <v>31</v>
      </c>
      <c r="F58" s="10" t="n">
        <f aca="false">E129</f>
        <v>41700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120000</v>
      </c>
      <c r="G64" s="15" t="s">
        <v>118</v>
      </c>
      <c r="J64" s="12" t="n">
        <v>85809.24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120000</v>
      </c>
      <c r="G74" s="13" t="s">
        <v>35</v>
      </c>
      <c r="J74" s="14" t="n">
        <f aca="false">SUM(J64:J73)</f>
        <v>85809.24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110</v>
      </c>
      <c r="J78" s="12" t="n">
        <v>62526.21</v>
      </c>
    </row>
    <row r="79" customFormat="false" ht="15" hidden="false" customHeight="false" outlineLevel="0" collapsed="false">
      <c r="G79" s="0" t="s">
        <v>111</v>
      </c>
      <c r="J79" s="12" t="n">
        <v>105909.99</v>
      </c>
    </row>
    <row r="80" customFormat="false" ht="15" hidden="false" customHeight="false" outlineLevel="0" collapsed="false">
      <c r="G80" s="0" t="s">
        <v>112</v>
      </c>
      <c r="J80" s="12" t="n">
        <v>78984.75</v>
      </c>
    </row>
    <row r="81" customFormat="false" ht="15" hidden="false" customHeight="false" outlineLevel="0" collapsed="false">
      <c r="G81" s="0" t="s">
        <v>113</v>
      </c>
      <c r="J81" s="12" t="n">
        <v>85618.79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333039.74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128</v>
      </c>
      <c r="E106" s="12" t="n">
        <v>68480.51</v>
      </c>
    </row>
    <row r="107" customFormat="false" ht="15" hidden="false" customHeight="false" outlineLevel="0" collapsed="false">
      <c r="B107" s="0" t="s">
        <v>129</v>
      </c>
      <c r="E107" s="12" t="n">
        <v>69521.65</v>
      </c>
    </row>
    <row r="108" customFormat="false" ht="15" hidden="false" customHeight="false" outlineLevel="0" collapsed="false">
      <c r="B108" s="0" t="s">
        <v>130</v>
      </c>
      <c r="E108" s="12" t="n">
        <v>90276.64</v>
      </c>
    </row>
    <row r="109" customFormat="false" ht="15" hidden="false" customHeight="false" outlineLevel="0" collapsed="false">
      <c r="B109" s="0" t="s">
        <v>131</v>
      </c>
      <c r="E109" s="12" t="n">
        <v>85269.65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313548.45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19" customFormat="false" ht="15" hidden="false" customHeight="false" outlineLevel="0" collapsed="false">
      <c r="B119" s="0" t="s">
        <v>127</v>
      </c>
      <c r="E119" s="12" t="n">
        <v>41700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41700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1204818.62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28603080</v>
      </c>
      <c r="G137" s="15" t="s">
        <v>58</v>
      </c>
      <c r="J137" s="8" t="n">
        <v>1281709.2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76890.5799999998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46082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0.0529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0.0453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0.4465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0.3938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11263892.904</v>
      </c>
      <c r="E145" s="18" t="n">
        <f aca="false">D145/$D$137</f>
        <v>0.3938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120000</v>
      </c>
      <c r="E146" s="18" t="n">
        <f aca="false">D146/$D$137</f>
        <v>0.00419535238862388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85809.24</v>
      </c>
      <c r="E148" s="18" t="n">
        <f aca="false">D148/$D$137</f>
        <v>0.003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333039.74</v>
      </c>
      <c r="E149" s="18" t="n">
        <f aca="false">D149/$D$137</f>
        <v>0.0116434922392973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0.00414990273774712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313548.45</v>
      </c>
      <c r="E152" s="18" t="n">
        <f aca="false">D152/$D$137</f>
        <v>0.0109620519888068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11573027.88</v>
      </c>
      <c r="E153" s="18" t="n">
        <f aca="false">D153/$D$137</f>
        <v>0.404607751333073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41700</v>
      </c>
      <c r="E154" s="18" t="n">
        <f aca="false">D154/$D$137</f>
        <v>0.0014578849550468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-6834.44600000046</v>
      </c>
      <c r="E155" s="19" t="n">
        <f aca="false">D155/D137</f>
        <v>-0.000238940911258524</v>
      </c>
    </row>
    <row r="156" customFormat="false" ht="15" hidden="false" customHeight="false" outlineLevel="0" collapsed="false">
      <c r="C156" s="0" t="s">
        <v>81</v>
      </c>
      <c r="D156" s="10" t="n">
        <f aca="false">FEV26!D155</f>
        <v>2632.71999999881</v>
      </c>
      <c r="E156" s="17" t="n">
        <f aca="false">FEV26!E155</f>
        <v>9.24218648523939E-005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46113</v>
      </c>
    </row>
    <row r="28" customFormat="false" ht="15" hidden="false" customHeight="false" outlineLevel="0" collapsed="false">
      <c r="B28" s="0" t="s">
        <v>14</v>
      </c>
      <c r="J28" s="8" t="n">
        <v>28720260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0.0535</v>
      </c>
    </row>
    <row r="33" customFormat="false" ht="15" hidden="false" customHeight="false" outlineLevel="0" collapsed="false">
      <c r="B33" s="0" t="s">
        <v>18</v>
      </c>
      <c r="F33" s="9" t="n">
        <v>0.0415</v>
      </c>
    </row>
    <row r="35" customFormat="false" ht="15" hidden="false" customHeight="false" outlineLevel="0" collapsed="false">
      <c r="B35" s="0" t="s">
        <v>19</v>
      </c>
      <c r="F35" s="9" t="n">
        <v>0.5</v>
      </c>
    </row>
    <row r="37" customFormat="false" ht="15" hidden="false" customHeight="false" outlineLevel="0" collapsed="false">
      <c r="B37" s="0" t="s">
        <v>20</v>
      </c>
      <c r="F37" s="9" t="n">
        <v>0.4353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12501929.178</v>
      </c>
    </row>
    <row r="41" customFormat="false" ht="15" hidden="false" customHeight="false" outlineLevel="0" collapsed="false">
      <c r="B41" s="0" t="s">
        <v>22</v>
      </c>
      <c r="F41" s="10" t="n">
        <f aca="false">E74</f>
        <v>105000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259086.55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284797.66</v>
      </c>
    </row>
    <row r="55" customFormat="false" ht="15" hidden="false" customHeight="false" outlineLevel="0" collapsed="false">
      <c r="B55" s="0" t="s">
        <v>29</v>
      </c>
      <c r="F55" s="8" t="n">
        <v>12705377.67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12705377.67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105000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105000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110</v>
      </c>
      <c r="J78" s="12" t="n">
        <v>56516.32</v>
      </c>
    </row>
    <row r="79" customFormat="false" ht="15" hidden="false" customHeight="false" outlineLevel="0" collapsed="false">
      <c r="G79" s="0" t="s">
        <v>111</v>
      </c>
      <c r="J79" s="12" t="n">
        <v>62682.84</v>
      </c>
    </row>
    <row r="80" customFormat="false" ht="15" hidden="false" customHeight="false" outlineLevel="0" collapsed="false">
      <c r="G80" s="0" t="s">
        <v>112</v>
      </c>
      <c r="J80" s="12" t="n">
        <v>59147.31</v>
      </c>
    </row>
    <row r="81" customFormat="false" ht="15" hidden="false" customHeight="false" outlineLevel="0" collapsed="false">
      <c r="G81" s="0" t="s">
        <v>113</v>
      </c>
      <c r="J81" s="12" t="n">
        <v>80740.08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259086.55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132</v>
      </c>
      <c r="E106" s="12" t="n">
        <v>62193.39</v>
      </c>
    </row>
    <row r="107" customFormat="false" ht="15" hidden="false" customHeight="false" outlineLevel="0" collapsed="false">
      <c r="B107" s="0" t="s">
        <v>133</v>
      </c>
      <c r="E107" s="12" t="n">
        <v>76333.35</v>
      </c>
    </row>
    <row r="108" customFormat="false" ht="15" hidden="false" customHeight="false" outlineLevel="0" collapsed="false">
      <c r="B108" s="0" t="s">
        <v>134</v>
      </c>
      <c r="E108" s="12" t="n">
        <v>69720.45</v>
      </c>
    </row>
    <row r="109" customFormat="false" ht="15" hidden="false" customHeight="false" outlineLevel="0" collapsed="false">
      <c r="B109" s="0" t="s">
        <v>135</v>
      </c>
      <c r="E109" s="12" t="n">
        <v>76550.47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284797.66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1080921.24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28720260</v>
      </c>
      <c r="G137" s="15" t="s">
        <v>58</v>
      </c>
      <c r="J137" s="8" t="n">
        <v>1132349.79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51428.5500000001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46113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0.0535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0.0415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0.5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0.4353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12501929.178</v>
      </c>
      <c r="E145" s="18" t="n">
        <f aca="false">D145/$D$137</f>
        <v>0.4353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105000</v>
      </c>
      <c r="E146" s="18" t="n">
        <f aca="false">D146/$D$137</f>
        <v>0.00365595576084618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259086.55</v>
      </c>
      <c r="E149" s="18" t="n">
        <f aca="false">D149/$D$137</f>
        <v>0.00902103776219296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0.00413297094107087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284797.66</v>
      </c>
      <c r="E152" s="18" t="n">
        <f aca="false">D152/$D$137</f>
        <v>0.00991626329288105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12705377.67</v>
      </c>
      <c r="E153" s="18" t="n">
        <f aca="false">D153/$D$137</f>
        <v>0.44238379701298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-5459.60199999809</v>
      </c>
      <c r="E155" s="19" t="n">
        <f aca="false">D155/D137</f>
        <v>-0.00019009584175067</v>
      </c>
    </row>
    <row r="156" customFormat="false" ht="15" hidden="false" customHeight="false" outlineLevel="0" collapsed="false">
      <c r="C156" s="0" t="s">
        <v>81</v>
      </c>
      <c r="D156" s="10" t="n">
        <f aca="false">MAR26!D155</f>
        <v>-6834.44600000046</v>
      </c>
      <c r="E156" s="17" t="n">
        <f aca="false">MAR26!E155</f>
        <v>-0.000238940911258524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46143</v>
      </c>
    </row>
    <row r="28" customFormat="false" ht="15" hidden="false" customHeight="false" outlineLevel="0" collapsed="false">
      <c r="B28" s="0" t="s">
        <v>14</v>
      </c>
      <c r="J28" s="8" t="n">
        <v>28837440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0.0535</v>
      </c>
    </row>
    <row r="33" customFormat="false" ht="15" hidden="false" customHeight="false" outlineLevel="0" collapsed="false">
      <c r="B33" s="0" t="s">
        <v>18</v>
      </c>
      <c r="F33" s="9" t="n">
        <v>0.0435</v>
      </c>
    </row>
    <row r="35" customFormat="false" ht="15" hidden="false" customHeight="false" outlineLevel="0" collapsed="false">
      <c r="B35" s="0" t="s">
        <v>19</v>
      </c>
      <c r="F35" s="9" t="n">
        <v>0.5535</v>
      </c>
    </row>
    <row r="37" customFormat="false" ht="15" hidden="false" customHeight="false" outlineLevel="0" collapsed="false">
      <c r="B37" s="0" t="s">
        <v>20</v>
      </c>
      <c r="F37" s="9" t="n">
        <v>0.4788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13807366.272</v>
      </c>
    </row>
    <row r="41" customFormat="false" ht="15" hidden="false" customHeight="false" outlineLevel="0" collapsed="false">
      <c r="B41" s="0" t="s">
        <v>22</v>
      </c>
      <c r="F41" s="10" t="n">
        <f aca="false">E74</f>
        <v>90000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299979.39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223874.16</v>
      </c>
    </row>
    <row r="55" customFormat="false" ht="15" hidden="false" customHeight="false" outlineLevel="0" collapsed="false">
      <c r="B55" s="0" t="s">
        <v>29</v>
      </c>
      <c r="F55" s="8" t="n">
        <v>14119398.83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14119398.83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90000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90000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110</v>
      </c>
      <c r="J78" s="12" t="n">
        <v>58202.14</v>
      </c>
    </row>
    <row r="79" customFormat="false" ht="15" hidden="false" customHeight="false" outlineLevel="0" collapsed="false">
      <c r="G79" s="0" t="s">
        <v>111</v>
      </c>
      <c r="J79" s="12" t="n">
        <v>86252.97</v>
      </c>
    </row>
    <row r="80" customFormat="false" ht="15" hidden="false" customHeight="false" outlineLevel="0" collapsed="false">
      <c r="G80" s="0" t="s">
        <v>112</v>
      </c>
      <c r="J80" s="12" t="n">
        <v>87637.95</v>
      </c>
    </row>
    <row r="81" customFormat="false" ht="15" hidden="false" customHeight="false" outlineLevel="0" collapsed="false">
      <c r="G81" s="0" t="s">
        <v>113</v>
      </c>
      <c r="J81" s="12" t="n">
        <v>67886.33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299979.39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136</v>
      </c>
      <c r="E106" s="12" t="n">
        <v>55527.69</v>
      </c>
    </row>
    <row r="107" customFormat="false" ht="15" hidden="false" customHeight="false" outlineLevel="0" collapsed="false">
      <c r="B107" s="0" t="s">
        <v>137</v>
      </c>
      <c r="E107" s="12" t="n">
        <v>43555.59</v>
      </c>
    </row>
    <row r="108" customFormat="false" ht="15" hidden="false" customHeight="false" outlineLevel="0" collapsed="false">
      <c r="B108" s="0" t="s">
        <v>138</v>
      </c>
      <c r="E108" s="12" t="n">
        <v>70865.31</v>
      </c>
    </row>
    <row r="109" customFormat="false" ht="15" hidden="false" customHeight="false" outlineLevel="0" collapsed="false">
      <c r="B109" s="0" t="s">
        <v>139</v>
      </c>
      <c r="E109" s="12" t="n">
        <v>53925.57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223874.16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1355915.52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28837440</v>
      </c>
      <c r="G137" s="15" t="s">
        <v>58</v>
      </c>
      <c r="J137" s="8" t="n">
        <v>1414021.16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58105.6399999999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46143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0.0535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0.0435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0.5535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0.4788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13807366.272</v>
      </c>
      <c r="E145" s="18" t="n">
        <f aca="false">D145/$D$137</f>
        <v>0.4788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90000</v>
      </c>
      <c r="E146" s="18" t="n">
        <f aca="false">D146/$D$137</f>
        <v>0.00312094277439329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299979.39</v>
      </c>
      <c r="E149" s="18" t="n">
        <f aca="false">D149/$D$137</f>
        <v>0.0104024278854156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0.00411617674800537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223874.16</v>
      </c>
      <c r="E152" s="18" t="n">
        <f aca="false">D152/$D$137</f>
        <v>0.00776331602250408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14119398.83</v>
      </c>
      <c r="E153" s="18" t="n">
        <f aca="false">D153/$D$137</f>
        <v>0.489620397302951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-27227.3279999997</v>
      </c>
      <c r="E155" s="19" t="n">
        <f aca="false">D155/D137</f>
        <v>-0.000944165917640392</v>
      </c>
    </row>
    <row r="156" customFormat="false" ht="15" hidden="false" customHeight="false" outlineLevel="0" collapsed="false">
      <c r="C156" s="0" t="s">
        <v>81</v>
      </c>
      <c r="D156" s="10" t="n">
        <f aca="false">ABR26!D155</f>
        <v>-5459.60199999809</v>
      </c>
      <c r="E156" s="17" t="n">
        <f aca="false">ABR26!E155</f>
        <v>-0.00019009584175067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46174</v>
      </c>
    </row>
    <row r="28" customFormat="false" ht="15" hidden="false" customHeight="false" outlineLevel="0" collapsed="false">
      <c r="B28" s="0" t="s">
        <v>14</v>
      </c>
      <c r="J28" s="8" t="n">
        <v>28954620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0.0529</v>
      </c>
    </row>
    <row r="33" customFormat="false" ht="15" hidden="false" customHeight="false" outlineLevel="0" collapsed="false">
      <c r="B33" s="0" t="s">
        <v>18</v>
      </c>
      <c r="F33" s="9" t="n">
        <v>0.0451</v>
      </c>
    </row>
    <row r="35" customFormat="false" ht="15" hidden="false" customHeight="false" outlineLevel="0" collapsed="false">
      <c r="B35" s="0" t="s">
        <v>19</v>
      </c>
      <c r="F35" s="9" t="n">
        <v>0.6064</v>
      </c>
    </row>
    <row r="37" customFormat="false" ht="15" hidden="false" customHeight="false" outlineLevel="0" collapsed="false">
      <c r="B37" s="0" t="s">
        <v>20</v>
      </c>
      <c r="F37" s="9" t="n">
        <v>0.5239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15169325.418</v>
      </c>
    </row>
    <row r="41" customFormat="false" ht="15" hidden="false" customHeight="false" outlineLevel="0" collapsed="false">
      <c r="B41" s="0" t="s">
        <v>22</v>
      </c>
      <c r="F41" s="10" t="n">
        <f aca="false">E74</f>
        <v>75000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368248.04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236062.58</v>
      </c>
    </row>
    <row r="55" customFormat="false" ht="15" hidden="false" customHeight="false" outlineLevel="0" collapsed="false">
      <c r="B55" s="0" t="s">
        <v>29</v>
      </c>
      <c r="F55" s="8" t="n">
        <v>15541902.47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15541902.47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75000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75000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112</v>
      </c>
      <c r="J78" s="12" t="n">
        <v>72244.78</v>
      </c>
    </row>
    <row r="79" customFormat="false" ht="15" hidden="false" customHeight="false" outlineLevel="0" collapsed="false">
      <c r="G79" s="0" t="s">
        <v>140</v>
      </c>
      <c r="J79" s="12" t="n">
        <v>53811.03</v>
      </c>
    </row>
    <row r="80" customFormat="false" ht="15" hidden="false" customHeight="false" outlineLevel="0" collapsed="false">
      <c r="G80" s="0" t="s">
        <v>113</v>
      </c>
      <c r="J80" s="12" t="n">
        <v>74641.76</v>
      </c>
    </row>
    <row r="81" customFormat="false" ht="15" hidden="false" customHeight="false" outlineLevel="0" collapsed="false">
      <c r="G81" s="0" t="s">
        <v>141</v>
      </c>
      <c r="J81" s="12" t="n">
        <v>72674.38</v>
      </c>
    </row>
    <row r="82" customFormat="false" ht="15" hidden="false" customHeight="false" outlineLevel="0" collapsed="false">
      <c r="G82" s="0" t="s">
        <v>142</v>
      </c>
      <c r="J82" s="12" t="n">
        <v>94876.09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368248.04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143</v>
      </c>
      <c r="E106" s="12" t="n">
        <v>86448.84</v>
      </c>
    </row>
    <row r="107" customFormat="false" ht="15" hidden="false" customHeight="false" outlineLevel="0" collapsed="false">
      <c r="B107" s="0" t="s">
        <v>144</v>
      </c>
      <c r="E107" s="12" t="n">
        <v>47562.43</v>
      </c>
    </row>
    <row r="108" customFormat="false" ht="15" hidden="false" customHeight="false" outlineLevel="0" collapsed="false">
      <c r="B108" s="0" t="s">
        <v>145</v>
      </c>
      <c r="E108" s="12" t="n">
        <v>59246.01</v>
      </c>
    </row>
    <row r="109" customFormat="false" ht="15" hidden="false" customHeight="false" outlineLevel="0" collapsed="false">
      <c r="B109" s="0" t="s">
        <v>146</v>
      </c>
      <c r="E109" s="12" t="n">
        <v>42805.3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236062.58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1381695.92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28954620</v>
      </c>
      <c r="G137" s="15" t="s">
        <v>58</v>
      </c>
      <c r="J137" s="8" t="n">
        <v>1422503.64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40807.72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46174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0.0529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0.0451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0.6064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0.5239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15169325.418</v>
      </c>
      <c r="E145" s="18" t="n">
        <f aca="false">D145/$D$137</f>
        <v>0.5239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75000</v>
      </c>
      <c r="E146" s="18" t="n">
        <f aca="false">D146/$D$137</f>
        <v>0.00259026020717937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368248.04</v>
      </c>
      <c r="E149" s="18" t="n">
        <f aca="false">D149/$D$137</f>
        <v>0.0127181099251173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0.00409951848789589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236062.58</v>
      </c>
      <c r="E152" s="18" t="n">
        <f aca="false">D152/$D$137</f>
        <v>0.0081528467650413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15541902.47</v>
      </c>
      <c r="E153" s="18" t="n">
        <f aca="false">D153/$D$137</f>
        <v>0.536767620158717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-46691.5920000002</v>
      </c>
      <c r="E155" s="19" t="n">
        <f aca="false">D155/D137</f>
        <v>-0.00161257830356607</v>
      </c>
    </row>
    <row r="156" customFormat="false" ht="15" hidden="false" customHeight="false" outlineLevel="0" collapsed="false">
      <c r="C156" s="0" t="s">
        <v>81</v>
      </c>
      <c r="D156" s="10" t="n">
        <f aca="false">MAI26!D155</f>
        <v>-27227.3279999997</v>
      </c>
      <c r="E156" s="17" t="n">
        <f aca="false">MAI26!E155</f>
        <v>-0.000944165917640392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46204</v>
      </c>
    </row>
    <row r="28" customFormat="false" ht="15" hidden="false" customHeight="false" outlineLevel="0" collapsed="false">
      <c r="B28" s="0" t="s">
        <v>14</v>
      </c>
      <c r="J28" s="8" t="n">
        <v>29071800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0.0519</v>
      </c>
    </row>
    <row r="33" customFormat="false" ht="15" hidden="false" customHeight="false" outlineLevel="0" collapsed="false">
      <c r="B33" s="0" t="s">
        <v>18</v>
      </c>
      <c r="F33" s="9" t="n">
        <v>0.0512</v>
      </c>
    </row>
    <row r="35" customFormat="false" ht="15" hidden="false" customHeight="false" outlineLevel="0" collapsed="false">
      <c r="B35" s="0" t="s">
        <v>19</v>
      </c>
      <c r="F35" s="9" t="n">
        <v>0.6583</v>
      </c>
    </row>
    <row r="37" customFormat="false" ht="15" hidden="false" customHeight="false" outlineLevel="0" collapsed="false">
      <c r="B37" s="0" t="s">
        <v>20</v>
      </c>
      <c r="F37" s="9" t="n">
        <v>0.5751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16719192.18</v>
      </c>
    </row>
    <row r="41" customFormat="false" ht="15" hidden="false" customHeight="false" outlineLevel="0" collapsed="false">
      <c r="B41" s="0" t="s">
        <v>22</v>
      </c>
      <c r="F41" s="10" t="n">
        <f aca="false">E74</f>
        <v>60000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345321.85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305063.45</v>
      </c>
    </row>
    <row r="55" customFormat="false" ht="15" hidden="false" customHeight="false" outlineLevel="0" collapsed="false">
      <c r="B55" s="0" t="s">
        <v>29</v>
      </c>
      <c r="F55" s="8" t="n">
        <v>17003724.49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17003724.49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60000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60000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112</v>
      </c>
      <c r="J78" s="12" t="n">
        <v>50492.1</v>
      </c>
    </row>
    <row r="79" customFormat="false" ht="15" hidden="false" customHeight="false" outlineLevel="0" collapsed="false">
      <c r="G79" s="0" t="s">
        <v>140</v>
      </c>
      <c r="J79" s="12" t="n">
        <v>62806.33</v>
      </c>
    </row>
    <row r="80" customFormat="false" ht="15" hidden="false" customHeight="false" outlineLevel="0" collapsed="false">
      <c r="G80" s="0" t="s">
        <v>113</v>
      </c>
      <c r="J80" s="12" t="n">
        <v>92224.14</v>
      </c>
    </row>
    <row r="81" customFormat="false" ht="15" hidden="false" customHeight="false" outlineLevel="0" collapsed="false">
      <c r="G81" s="0" t="s">
        <v>141</v>
      </c>
      <c r="J81" s="12" t="n">
        <v>62799.21</v>
      </c>
    </row>
    <row r="82" customFormat="false" ht="15" hidden="false" customHeight="false" outlineLevel="0" collapsed="false">
      <c r="G82" s="0" t="s">
        <v>142</v>
      </c>
      <c r="J82" s="12" t="n">
        <v>77000.07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345321.85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147</v>
      </c>
      <c r="E106" s="12" t="n">
        <v>70189.51</v>
      </c>
    </row>
    <row r="107" customFormat="false" ht="15" hidden="false" customHeight="false" outlineLevel="0" collapsed="false">
      <c r="B107" s="0" t="s">
        <v>148</v>
      </c>
      <c r="E107" s="12" t="n">
        <v>62539.03</v>
      </c>
    </row>
    <row r="108" customFormat="false" ht="15" hidden="false" customHeight="false" outlineLevel="0" collapsed="false">
      <c r="B108" s="0" t="s">
        <v>149</v>
      </c>
      <c r="E108" s="12" t="n">
        <v>70316.76</v>
      </c>
    </row>
    <row r="109" customFormat="false" ht="15" hidden="false" customHeight="false" outlineLevel="0" collapsed="false">
      <c r="B109" s="0" t="s">
        <v>150</v>
      </c>
      <c r="E109" s="12" t="n">
        <v>102018.15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305063.45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1454671.96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29071800</v>
      </c>
      <c r="G137" s="15" t="s">
        <v>58</v>
      </c>
      <c r="J137" s="8" t="n">
        <v>1461822.02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7150.06000000006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46204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0.0519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0.0512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0.6583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0.5751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16719192.18</v>
      </c>
      <c r="E145" s="18" t="n">
        <f aca="false">D145/$D$137</f>
        <v>0.5751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60000</v>
      </c>
      <c r="E146" s="18" t="n">
        <f aca="false">D146/$D$137</f>
        <v>0.00206385569520979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345321.85</v>
      </c>
      <c r="E149" s="18" t="n">
        <f aca="false">D149/$D$137</f>
        <v>0.0118782411133814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0.00408299451702337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305063.45</v>
      </c>
      <c r="E152" s="18" t="n">
        <f aca="false">D152/$D$137</f>
        <v>0.0104934489780475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17003724.49</v>
      </c>
      <c r="E153" s="18" t="n">
        <f aca="false">D153/$D$137</f>
        <v>0.584887227141078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-65573.9099999964</v>
      </c>
      <c r="E155" s="19" t="n">
        <f aca="false">D155/D137</f>
        <v>-0.00225558479351111</v>
      </c>
    </row>
    <row r="156" customFormat="false" ht="15" hidden="false" customHeight="false" outlineLevel="0" collapsed="false">
      <c r="C156" s="0" t="s">
        <v>81</v>
      </c>
      <c r="D156" s="10" t="n">
        <f aca="false">JUN26!D155</f>
        <v>-46691.5920000002</v>
      </c>
      <c r="E156" s="17" t="n">
        <f aca="false">JUN26!E155</f>
        <v>-0.00161257830356607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46235</v>
      </c>
    </row>
    <row r="28" customFormat="false" ht="15" hidden="false" customHeight="false" outlineLevel="0" collapsed="false">
      <c r="B28" s="0" t="s">
        <v>14</v>
      </c>
      <c r="J28" s="8" t="n">
        <v>29188980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0.0502</v>
      </c>
    </row>
    <row r="33" customFormat="false" ht="15" hidden="false" customHeight="false" outlineLevel="0" collapsed="false">
      <c r="B33" s="0" t="s">
        <v>18</v>
      </c>
      <c r="F33" s="9" t="n">
        <v>0.0522</v>
      </c>
    </row>
    <row r="35" customFormat="false" ht="15" hidden="false" customHeight="false" outlineLevel="0" collapsed="false">
      <c r="B35" s="0" t="s">
        <v>19</v>
      </c>
      <c r="F35" s="9" t="n">
        <v>0.7085</v>
      </c>
    </row>
    <row r="37" customFormat="false" ht="15" hidden="false" customHeight="false" outlineLevel="0" collapsed="false">
      <c r="B37" s="0" t="s">
        <v>20</v>
      </c>
      <c r="F37" s="9" t="n">
        <v>0.6273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18310247.154</v>
      </c>
    </row>
    <row r="41" customFormat="false" ht="15" hidden="false" customHeight="false" outlineLevel="0" collapsed="false">
      <c r="B41" s="0" t="s">
        <v>22</v>
      </c>
      <c r="F41" s="10" t="n">
        <f aca="false">E74</f>
        <v>45000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395943.85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311571.41</v>
      </c>
    </row>
    <row r="55" customFormat="false" ht="15" hidden="false" customHeight="false" outlineLevel="0" collapsed="false">
      <c r="B55" s="0" t="s">
        <v>29</v>
      </c>
      <c r="F55" s="8" t="n">
        <v>18639547.91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18639547.91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45000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45000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112</v>
      </c>
      <c r="J78" s="12" t="n">
        <v>70111.49</v>
      </c>
    </row>
    <row r="79" customFormat="false" ht="15" hidden="false" customHeight="false" outlineLevel="0" collapsed="false">
      <c r="G79" s="0" t="s">
        <v>140</v>
      </c>
      <c r="J79" s="12" t="n">
        <v>91511.52</v>
      </c>
    </row>
    <row r="80" customFormat="false" ht="15" hidden="false" customHeight="false" outlineLevel="0" collapsed="false">
      <c r="G80" s="0" t="s">
        <v>113</v>
      </c>
      <c r="J80" s="12" t="n">
        <v>97248.35</v>
      </c>
    </row>
    <row r="81" customFormat="false" ht="15" hidden="false" customHeight="false" outlineLevel="0" collapsed="false">
      <c r="G81" s="0" t="s">
        <v>141</v>
      </c>
      <c r="J81" s="12" t="n">
        <v>61924.84</v>
      </c>
    </row>
    <row r="82" customFormat="false" ht="15" hidden="false" customHeight="false" outlineLevel="0" collapsed="false">
      <c r="G82" s="0" t="s">
        <v>142</v>
      </c>
      <c r="J82" s="12" t="n">
        <v>75147.65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395943.85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151</v>
      </c>
      <c r="E106" s="12" t="n">
        <v>80540.48</v>
      </c>
    </row>
    <row r="107" customFormat="false" ht="15" hidden="false" customHeight="false" outlineLevel="0" collapsed="false">
      <c r="B107" s="0" t="s">
        <v>152</v>
      </c>
      <c r="E107" s="12" t="n">
        <v>61747.49</v>
      </c>
    </row>
    <row r="108" customFormat="false" ht="15" hidden="false" customHeight="false" outlineLevel="0" collapsed="false">
      <c r="B108" s="0" t="s">
        <v>153</v>
      </c>
      <c r="E108" s="12" t="n">
        <v>79445.02</v>
      </c>
    </row>
    <row r="109" customFormat="false" ht="15" hidden="false" customHeight="false" outlineLevel="0" collapsed="false">
      <c r="B109" s="0" t="s">
        <v>154</v>
      </c>
      <c r="E109" s="12" t="n">
        <v>89838.42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311571.41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1673126.64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29188980</v>
      </c>
      <c r="G137" s="15" t="s">
        <v>58</v>
      </c>
      <c r="J137" s="8" t="n">
        <v>1635823.42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-37303.22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46235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0.0502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0.0522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0.7085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0.6273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18310247.154</v>
      </c>
      <c r="E145" s="18" t="n">
        <f aca="false">D145/$D$137</f>
        <v>0.6273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45000</v>
      </c>
      <c r="E146" s="18" t="n">
        <f aca="false">D146/$D$137</f>
        <v>0.00154167771535696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395943.85</v>
      </c>
      <c r="E149" s="18" t="n">
        <f aca="false">D149/$D$137</f>
        <v>0.0135648402239475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0.0040666032180638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311571.41</v>
      </c>
      <c r="E152" s="18" t="n">
        <f aca="false">D152/$D$137</f>
        <v>0.0106742822119855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18639547.91</v>
      </c>
      <c r="E153" s="18" t="n">
        <f aca="false">D153/$D$137</f>
        <v>0.63858168082612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-81228.3159999996</v>
      </c>
      <c r="E155" s="19" t="n">
        <f aca="false">D155/D137</f>
        <v>-0.00278284188073717</v>
      </c>
    </row>
    <row r="156" customFormat="false" ht="15" hidden="false" customHeight="false" outlineLevel="0" collapsed="false">
      <c r="C156" s="0" t="s">
        <v>81</v>
      </c>
      <c r="D156" s="10" t="n">
        <f aca="false">JUL26!D155</f>
        <v>-65573.9099999964</v>
      </c>
      <c r="E156" s="17" t="n">
        <f aca="false">JUL26!E155</f>
        <v>-0.00225558479351111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46266</v>
      </c>
    </row>
    <row r="28" customFormat="false" ht="15" hidden="false" customHeight="false" outlineLevel="0" collapsed="false">
      <c r="B28" s="0" t="s">
        <v>14</v>
      </c>
      <c r="J28" s="8" t="n">
        <v>29306160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0.048</v>
      </c>
    </row>
    <row r="33" customFormat="false" ht="15" hidden="false" customHeight="false" outlineLevel="0" collapsed="false">
      <c r="B33" s="0" t="s">
        <v>18</v>
      </c>
      <c r="F33" s="9" t="n">
        <v>0.076</v>
      </c>
    </row>
    <row r="35" customFormat="false" ht="15" hidden="false" customHeight="false" outlineLevel="0" collapsed="false">
      <c r="B35" s="0" t="s">
        <v>19</v>
      </c>
      <c r="F35" s="9" t="n">
        <v>0.7565</v>
      </c>
    </row>
    <row r="37" customFormat="false" ht="15" hidden="false" customHeight="false" outlineLevel="0" collapsed="false">
      <c r="B37" s="0" t="s">
        <v>20</v>
      </c>
      <c r="F37" s="9" t="n">
        <v>0.7033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20611022.328</v>
      </c>
    </row>
    <row r="41" customFormat="false" ht="15" hidden="false" customHeight="false" outlineLevel="0" collapsed="false">
      <c r="B41" s="0" t="s">
        <v>22</v>
      </c>
      <c r="F41" s="10" t="n">
        <f aca="false">E74</f>
        <v>30000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306646.05</v>
      </c>
    </row>
    <row r="49" customFormat="false" ht="15" hidden="false" customHeight="false" outlineLevel="0" collapsed="false">
      <c r="B49" s="0" t="s">
        <v>26</v>
      </c>
      <c r="F49" s="10" t="n">
        <f aca="false">E102</f>
        <v>118700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569151.7</v>
      </c>
    </row>
    <row r="55" customFormat="false" ht="15" hidden="false" customHeight="false" outlineLevel="0" collapsed="false">
      <c r="B55" s="0" t="s">
        <v>29</v>
      </c>
      <c r="F55" s="8" t="n">
        <v>20598852.98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20598852.98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64" customFormat="false" ht="15" hidden="false" customHeight="false" outlineLevel="0" collapsed="false">
      <c r="B64" s="0" t="s">
        <v>34</v>
      </c>
      <c r="E64" s="12" t="n">
        <v>30000</v>
      </c>
    </row>
    <row r="74" customFormat="false" ht="15" hidden="false" customHeight="false" outlineLevel="0" collapsed="false">
      <c r="B74" s="13" t="s">
        <v>35</v>
      </c>
      <c r="E74" s="14" t="n">
        <f aca="false">SUM(E64:E73)</f>
        <v>30000</v>
      </c>
      <c r="G74" s="13" t="s">
        <v>35</v>
      </c>
      <c r="J74" s="14" t="n">
        <f aca="false">SUM(J64:J73)</f>
        <v>0</v>
      </c>
    </row>
    <row r="77" customFormat="false" ht="15" hidden="false" customHeight="false" outlineLevel="0" collapsed="false">
      <c r="B77" s="11" t="s">
        <v>36</v>
      </c>
      <c r="G77" s="11" t="s">
        <v>37</v>
      </c>
    </row>
    <row r="78" customFormat="false" ht="15" hidden="false" customHeight="false" outlineLevel="0" collapsed="false">
      <c r="G78" s="0" t="s">
        <v>112</v>
      </c>
      <c r="J78" s="12" t="n">
        <v>61204.99</v>
      </c>
    </row>
    <row r="79" customFormat="false" ht="15" hidden="false" customHeight="false" outlineLevel="0" collapsed="false">
      <c r="G79" s="0" t="s">
        <v>140</v>
      </c>
      <c r="J79" s="12" t="n">
        <v>34496.84</v>
      </c>
    </row>
    <row r="80" customFormat="false" ht="15" hidden="false" customHeight="false" outlineLevel="0" collapsed="false">
      <c r="G80" s="0" t="s">
        <v>113</v>
      </c>
      <c r="J80" s="12" t="n">
        <v>73223.31</v>
      </c>
    </row>
    <row r="81" customFormat="false" ht="15" hidden="false" customHeight="false" outlineLevel="0" collapsed="false">
      <c r="G81" s="0" t="s">
        <v>141</v>
      </c>
      <c r="J81" s="12" t="n">
        <v>78163.86</v>
      </c>
    </row>
    <row r="82" customFormat="false" ht="15" hidden="false" customHeight="false" outlineLevel="0" collapsed="false">
      <c r="G82" s="0" t="s">
        <v>142</v>
      </c>
      <c r="J82" s="12" t="n">
        <v>59557.05</v>
      </c>
    </row>
    <row r="88" customFormat="false" ht="15" hidden="false" customHeight="false" outlineLevel="0" collapsed="false">
      <c r="B88" s="13" t="s">
        <v>35</v>
      </c>
      <c r="E88" s="14" t="n">
        <f aca="false">SUM(E78:E87)</f>
        <v>0</v>
      </c>
      <c r="G88" s="13" t="s">
        <v>35</v>
      </c>
      <c r="J88" s="14" t="n">
        <f aca="false">SUM(J78:J87)</f>
        <v>306646.05</v>
      </c>
    </row>
    <row r="91" customFormat="false" ht="15" hidden="false" customHeight="false" outlineLevel="0" collapsed="false">
      <c r="B91" s="11" t="s">
        <v>41</v>
      </c>
      <c r="G91" s="11" t="s">
        <v>42</v>
      </c>
    </row>
    <row r="92" customFormat="false" ht="15" hidden="false" customHeight="false" outlineLevel="0" collapsed="false">
      <c r="B92" s="0" t="s">
        <v>43</v>
      </c>
      <c r="E92" s="12" t="n">
        <v>9800</v>
      </c>
    </row>
    <row r="93" customFormat="false" ht="15" hidden="false" customHeight="false" outlineLevel="0" collapsed="false">
      <c r="B93" s="0" t="s">
        <v>44</v>
      </c>
      <c r="E93" s="12" t="n">
        <v>38500</v>
      </c>
    </row>
    <row r="94" customFormat="false" ht="15" hidden="false" customHeight="false" outlineLevel="0" collapsed="false">
      <c r="B94" s="0" t="s">
        <v>45</v>
      </c>
      <c r="E94" s="12" t="n">
        <v>64000</v>
      </c>
    </row>
    <row r="95" customFormat="false" ht="15" hidden="false" customHeight="false" outlineLevel="0" collapsed="false">
      <c r="B95" s="0" t="s">
        <v>46</v>
      </c>
      <c r="E95" s="12" t="n">
        <v>6400</v>
      </c>
    </row>
    <row r="102" customFormat="false" ht="15" hidden="false" customHeight="false" outlineLevel="0" collapsed="false">
      <c r="B102" s="13" t="s">
        <v>35</v>
      </c>
      <c r="E102" s="14" t="n">
        <f aca="false">SUM(E92:E101)</f>
        <v>118700</v>
      </c>
      <c r="G102" s="13" t="s">
        <v>35</v>
      </c>
      <c r="J102" s="14" t="n">
        <f aca="false">SUM(J92:J101)</f>
        <v>0</v>
      </c>
    </row>
    <row r="105" customFormat="false" ht="15" hidden="false" customHeight="false" outlineLevel="0" collapsed="false">
      <c r="B105" s="11" t="s">
        <v>47</v>
      </c>
      <c r="G105" s="11" t="s">
        <v>48</v>
      </c>
    </row>
    <row r="106" customFormat="false" ht="15" hidden="false" customHeight="false" outlineLevel="0" collapsed="false">
      <c r="B106" s="0" t="s">
        <v>155</v>
      </c>
      <c r="E106" s="12" t="n">
        <v>168562.7</v>
      </c>
    </row>
    <row r="107" customFormat="false" ht="15" hidden="false" customHeight="false" outlineLevel="0" collapsed="false">
      <c r="B107" s="0" t="s">
        <v>156</v>
      </c>
      <c r="E107" s="12" t="n">
        <v>136733.7</v>
      </c>
    </row>
    <row r="108" customFormat="false" ht="15" hidden="false" customHeight="false" outlineLevel="0" collapsed="false">
      <c r="B108" s="0" t="s">
        <v>157</v>
      </c>
      <c r="E108" s="12" t="n">
        <v>173305.3</v>
      </c>
    </row>
    <row r="109" customFormat="false" ht="15" hidden="false" customHeight="false" outlineLevel="0" collapsed="false">
      <c r="B109" s="0" t="s">
        <v>158</v>
      </c>
      <c r="E109" s="12" t="n">
        <v>90550</v>
      </c>
    </row>
    <row r="115" customFormat="false" ht="15" hidden="false" customHeight="false" outlineLevel="0" collapsed="false">
      <c r="B115" s="13" t="s">
        <v>35</v>
      </c>
      <c r="E115" s="14" t="n">
        <f aca="false">SUM(E106:E114)</f>
        <v>569151.7</v>
      </c>
      <c r="G115" s="13" t="s">
        <v>35</v>
      </c>
      <c r="J115" s="14" t="n">
        <f aca="false">SUM(J106:J114)</f>
        <v>0</v>
      </c>
    </row>
    <row r="118" customFormat="false" ht="15" hidden="false" customHeight="false" outlineLevel="0" collapsed="false">
      <c r="B118" s="11" t="s">
        <v>52</v>
      </c>
    </row>
    <row r="129" customFormat="false" ht="15" hidden="false" customHeight="false" outlineLevel="0" collapsed="false">
      <c r="B129" s="13" t="s">
        <v>35</v>
      </c>
      <c r="E129" s="14" t="n">
        <f aca="false">SUM(E119:E128)</f>
        <v>0</v>
      </c>
    </row>
    <row r="132" customFormat="false" ht="17.35" hidden="false" customHeight="false" outlineLevel="0" collapsed="false">
      <c r="B132" s="1" t="s">
        <v>53</v>
      </c>
    </row>
    <row r="135" customFormat="false" ht="15" hidden="false" customHeight="false" outlineLevel="0" collapsed="false">
      <c r="G135" s="13" t="s">
        <v>54</v>
      </c>
    </row>
    <row r="136" customFormat="false" ht="15" hidden="false" customHeight="false" outlineLevel="0" collapsed="false">
      <c r="C136" s="0" t="s">
        <v>55</v>
      </c>
      <c r="D136" s="4" t="str">
        <f aca="false">D24</f>
        <v>DUNAS</v>
      </c>
      <c r="G136" s="15" t="s">
        <v>56</v>
      </c>
      <c r="J136" s="8" t="n">
        <v>2012558.62</v>
      </c>
    </row>
    <row r="137" customFormat="false" ht="15" hidden="false" customHeight="false" outlineLevel="0" collapsed="false">
      <c r="C137" s="0" t="s">
        <v>57</v>
      </c>
      <c r="D137" s="10" t="n">
        <f aca="false">J28</f>
        <v>29306160</v>
      </c>
      <c r="G137" s="15" t="s">
        <v>58</v>
      </c>
      <c r="J137" s="8" t="n">
        <v>1959305.07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59</v>
      </c>
      <c r="J138" s="10" t="n">
        <f aca="false">J137-J136</f>
        <v>-53253.5500000001</v>
      </c>
    </row>
    <row r="139" customFormat="false" ht="15" hidden="false" customHeight="false" outlineLevel="0" collapsed="false">
      <c r="C139" s="0" t="s">
        <v>60</v>
      </c>
      <c r="D139" s="16" t="n">
        <f aca="false">E26</f>
        <v>46266</v>
      </c>
      <c r="G139" s="15" t="s">
        <v>61</v>
      </c>
    </row>
    <row r="140" customFormat="false" ht="15" hidden="false" customHeight="false" outlineLevel="0" collapsed="false">
      <c r="C140" s="0" t="s">
        <v>62</v>
      </c>
      <c r="D140" s="17" t="n">
        <f aca="false">F31</f>
        <v>0.048</v>
      </c>
    </row>
    <row r="141" customFormat="false" ht="15" hidden="false" customHeight="false" outlineLevel="0" collapsed="false">
      <c r="C141" s="0" t="s">
        <v>63</v>
      </c>
      <c r="D141" s="17" t="n">
        <f aca="false">F33</f>
        <v>0.076</v>
      </c>
    </row>
    <row r="142" customFormat="false" ht="15" hidden="false" customHeight="false" outlineLevel="0" collapsed="false">
      <c r="C142" s="0" t="s">
        <v>64</v>
      </c>
      <c r="D142" s="17" t="n">
        <f aca="false">F35</f>
        <v>0.7565</v>
      </c>
    </row>
    <row r="143" customFormat="false" ht="15" hidden="false" customHeight="false" outlineLevel="0" collapsed="false">
      <c r="C143" s="0" t="s">
        <v>65</v>
      </c>
      <c r="D143" s="17" t="n">
        <f aca="false">F37</f>
        <v>0.7033</v>
      </c>
    </row>
    <row r="145" customFormat="false" ht="15" hidden="false" customHeight="false" outlineLevel="0" collapsed="false">
      <c r="B145" s="0" t="s">
        <v>66</v>
      </c>
      <c r="C145" s="0" t="s">
        <v>67</v>
      </c>
      <c r="D145" s="10" t="n">
        <f aca="false">F39</f>
        <v>20611022.328</v>
      </c>
      <c r="E145" s="18" t="n">
        <f aca="false">D145/$D$137</f>
        <v>0.7033</v>
      </c>
    </row>
    <row r="146" customFormat="false" ht="15" hidden="false" customHeight="false" outlineLevel="0" collapsed="false">
      <c r="B146" s="0" t="s">
        <v>68</v>
      </c>
      <c r="C146" s="0" t="s">
        <v>32</v>
      </c>
      <c r="D146" s="10" t="n">
        <f aca="false">F41</f>
        <v>30000</v>
      </c>
      <c r="E146" s="18" t="n">
        <f aca="false">D146/$D$137</f>
        <v>0.00102367556854941</v>
      </c>
    </row>
    <row r="147" customFormat="false" ht="15" hidden="false" customHeight="false" outlineLevel="0" collapsed="false">
      <c r="B147" s="0" t="s">
        <v>69</v>
      </c>
      <c r="C147" s="0" t="s">
        <v>36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70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71</v>
      </c>
      <c r="C149" s="0" t="s">
        <v>37</v>
      </c>
      <c r="D149" s="10" t="n">
        <f aca="false">F47</f>
        <v>306646.05</v>
      </c>
      <c r="E149" s="18" t="n">
        <f aca="false">D149/$D$137</f>
        <v>0.0104635356525727</v>
      </c>
    </row>
    <row r="150" customFormat="false" ht="15" hidden="false" customHeight="false" outlineLevel="0" collapsed="false">
      <c r="B150" s="0" t="s">
        <v>72</v>
      </c>
      <c r="C150" s="0" t="s">
        <v>73</v>
      </c>
      <c r="D150" s="10" t="n">
        <f aca="false">F49</f>
        <v>118700</v>
      </c>
      <c r="E150" s="18" t="n">
        <f aca="false">D150/$D$137</f>
        <v>0.0040503429995605</v>
      </c>
    </row>
    <row r="151" customFormat="false" ht="15" hidden="false" customHeight="false" outlineLevel="0" collapsed="false">
      <c r="B151" s="0" t="s">
        <v>74</v>
      </c>
      <c r="C151" s="0" t="s">
        <v>75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76</v>
      </c>
      <c r="C152" s="0" t="s">
        <v>47</v>
      </c>
      <c r="D152" s="10" t="n">
        <f aca="false">F53</f>
        <v>569151.7</v>
      </c>
      <c r="E152" s="18" t="n">
        <f aca="false">D152/$D$137</f>
        <v>0.0194208896696121</v>
      </c>
    </row>
    <row r="153" customFormat="false" ht="15" hidden="false" customHeight="false" outlineLevel="0" collapsed="false">
      <c r="B153" s="0" t="s">
        <v>77</v>
      </c>
      <c r="C153" s="0" t="s">
        <v>78</v>
      </c>
      <c r="D153" s="10" t="n">
        <f aca="false">F56</f>
        <v>20598852.98</v>
      </c>
      <c r="E153" s="18" t="n">
        <f aca="false">D153/$D$137</f>
        <v>0.702884751192241</v>
      </c>
    </row>
    <row r="154" customFormat="false" ht="15" hidden="false" customHeight="false" outlineLevel="0" collapsed="false">
      <c r="B154" s="0" t="s">
        <v>79</v>
      </c>
      <c r="C154" s="0" t="s">
        <v>52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3" t="s">
        <v>80</v>
      </c>
      <c r="D155" s="14" t="n">
        <f aca="false">D145+D146+D147+D148+D149+D150+D151-D152-D153-D154</f>
        <v>-101636.301999997</v>
      </c>
      <c r="E155" s="19" t="n">
        <f aca="false">D155/D137</f>
        <v>-0.00346808664117023</v>
      </c>
    </row>
    <row r="156" customFormat="false" ht="15" hidden="false" customHeight="false" outlineLevel="0" collapsed="false">
      <c r="C156" s="0" t="s">
        <v>81</v>
      </c>
      <c r="D156" s="10" t="n">
        <f aca="false">AGO26!D155</f>
        <v>-81228.3159999996</v>
      </c>
      <c r="E156" s="17" t="n">
        <f aca="false">AGO26!E155</f>
        <v>-0.00278284188073717</v>
      </c>
    </row>
    <row r="160" customFormat="false" ht="15" hidden="false" customHeight="false" outlineLevel="0" collapsed="false">
      <c r="B160" s="13" t="s">
        <v>82</v>
      </c>
    </row>
    <row r="162" customFormat="false" ht="15" hidden="false" customHeight="false" outlineLevel="0" collapsed="false">
      <c r="B162" s="13" t="s">
        <v>83</v>
      </c>
    </row>
    <row r="163" customFormat="false" ht="15" hidden="false" customHeight="false" outlineLevel="0" collapsed="false">
      <c r="B163" s="0" t="s">
        <v>84</v>
      </c>
    </row>
    <row r="164" customFormat="false" ht="15" hidden="false" customHeight="false" outlineLevel="0" collapsed="false">
      <c r="B164" s="13" t="s">
        <v>85</v>
      </c>
    </row>
    <row r="165" customFormat="false" ht="15" hidden="false" customHeight="false" outlineLevel="0" collapsed="false">
      <c r="B165" s="0" t="s">
        <v>86</v>
      </c>
    </row>
    <row r="166" customFormat="false" ht="15" hidden="false" customHeight="false" outlineLevel="0" collapsed="false">
      <c r="B166" s="13" t="s">
        <v>87</v>
      </c>
    </row>
    <row r="167" customFormat="false" ht="15" hidden="false" customHeight="false" outlineLevel="0" collapsed="false">
      <c r="B167" s="0" t="s">
        <v>88</v>
      </c>
    </row>
    <row r="168" customFormat="false" ht="15" hidden="false" customHeight="false" outlineLevel="0" collapsed="false">
      <c r="B168" s="13" t="s">
        <v>89</v>
      </c>
    </row>
    <row r="169" customFormat="false" ht="15" hidden="false" customHeight="false" outlineLevel="0" collapsed="false">
      <c r="B169" s="0" t="s">
        <v>90</v>
      </c>
    </row>
    <row r="170" customFormat="false" ht="15" hidden="false" customHeight="false" outlineLevel="0" collapsed="false">
      <c r="B170" s="13" t="s">
        <v>91</v>
      </c>
    </row>
    <row r="171" customFormat="false" ht="15" hidden="false" customHeight="false" outlineLevel="0" collapsed="false">
      <c r="B171" s="0" t="s">
        <v>92</v>
      </c>
    </row>
    <row r="172" customFormat="false" ht="15" hidden="false" customHeight="false" outlineLevel="0" collapsed="false">
      <c r="B172" s="13" t="s">
        <v>93</v>
      </c>
    </row>
    <row r="173" customFormat="false" ht="15" hidden="false" customHeight="false" outlineLevel="0" collapsed="false">
      <c r="B173" s="0" t="s">
        <v>94</v>
      </c>
    </row>
    <row r="174" customFormat="false" ht="15" hidden="false" customHeight="false" outlineLevel="0" collapsed="false">
      <c r="B174" s="13" t="s">
        <v>95</v>
      </c>
    </row>
    <row r="175" customFormat="false" ht="15" hidden="false" customHeight="false" outlineLevel="0" collapsed="false">
      <c r="B175" s="0" t="s">
        <v>96</v>
      </c>
    </row>
    <row r="176" customFormat="false" ht="15" hidden="false" customHeight="false" outlineLevel="0" collapsed="false">
      <c r="B176" s="13" t="s">
        <v>97</v>
      </c>
    </row>
    <row r="177" customFormat="false" ht="15" hidden="false" customHeight="false" outlineLevel="0" collapsed="false">
      <c r="B177" s="0" t="s">
        <v>98</v>
      </c>
    </row>
    <row r="178" customFormat="false" ht="15" hidden="false" customHeight="false" outlineLevel="0" collapsed="false">
      <c r="B178" s="13" t="s">
        <v>99</v>
      </c>
    </row>
    <row r="179" customFormat="false" ht="15" hidden="false" customHeight="false" outlineLevel="0" collapsed="false">
      <c r="B179" s="0" t="s">
        <v>100</v>
      </c>
    </row>
    <row r="180" customFormat="false" ht="15" hidden="false" customHeight="false" outlineLevel="0" collapsed="false">
      <c r="B180" s="13" t="s">
        <v>101</v>
      </c>
    </row>
    <row r="181" customFormat="false" ht="15" hidden="false" customHeight="false" outlineLevel="0" collapsed="false">
      <c r="B1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2026-10-28T18:38:09Z</dcterms:created>
  <dc:creator>openpyxl</dc:creator>
  <dc:description/>
  <dc:language>en-US</dc:language>
  <cp:lastModifiedBy/>
  <dcterms:modified xsi:type="dcterms:W3CDTF">2026-10-28T18:38:09Z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