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<sst xmlns="http://schemas.openxmlformats.org/spreadsheetml/2006/main" count="1584" uniqueCount="174">
  <si>
    <t xml:space="preserve">Análise Crítica · CAJUEIRO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</si>
  <si>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</si>
  <si>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</si>
  <si>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</si>
  <si>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</si>
  <si>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</si>
  <si>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</si>
  <si>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</si>
  <si>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</si>
  <si>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</si>
  <si>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</si>
  <si>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</si>
  <si>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CAJUEIRO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</si>
  <si>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</si>
  <si>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</si>
  <si>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</si>
  <si>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final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</si>
  <si>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</si>
  <si>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</si>
  <si>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</si>
  <si>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</si>
  <si>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</si>
  <si>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</si>
  <si>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</si>
  <si>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</si>
  <si>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</si>
  <si>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</si>
  <si>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</si>
  <si>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</si>
  <si>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</si>
  <si>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</si>
  <si>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</si>
  <si>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</si>
  <si>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</si>
  <si>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</si>
  <si>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</si>
  <si>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</si>
  <si>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Blocos cerâmicos</t>
  </si>
  <si>
    <t xml:space="preserve">Argamassa industrializada</t>
  </si>
  <si>
    <t xml:space="preserve">Material hidrossanitário</t>
  </si>
  <si>
    <t xml:space="preserve">Material elétrico (fios e cabos)</t>
  </si>
  <si>
    <t xml:space="preserve">Revestimento cerâmico (compra antecipada)</t>
  </si>
  <si>
    <t xml:space="preserve">Equipamentos comprados</t>
  </si>
  <si>
    <t xml:space="preserve">Receitas de personalizações</t>
  </si>
  <si>
    <t xml:space="preserve">Betoneira 400 L</t>
  </si>
  <si>
    <t xml:space="preserve">Unid. 501 · troca de piso da sala (cliente I. Moura)</t>
  </si>
  <si>
    <t xml:space="preserve">Guincho de coluna</t>
  </si>
  <si>
    <t xml:space="preserve">Unid. 1603 · bancada da cozinha em quartzo (cliente J. Viana)</t>
  </si>
  <si>
    <t xml:space="preserve">Andaime fachadeiro (lote)</t>
  </si>
  <si>
    <t xml:space="preserve">Plataforma elevatória</t>
  </si>
  <si>
    <t xml:space="preserve">Contas a pagar dos medidos</t>
  </si>
  <si>
    <t xml:space="preserve">Itens apontados irregularmente no relatório</t>
  </si>
  <si>
    <t xml:space="preserve">Medição da empreiteira de alvenaria · NF 22849</t>
  </si>
  <si>
    <t xml:space="preserve">Medição de instalações hidráulicas · NF 33277</t>
  </si>
  <si>
    <t xml:space="preserve">Medição de instalações elétricas · NF 78149</t>
  </si>
  <si>
    <t xml:space="preserve">Encargos e INSS do mês · NF 11244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</si>
  <si>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</si>
  <si>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</si>
  <si>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</si>
  <si>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</si>
  <si>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</si>
  <si>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</si>
  <si>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</si>
  <si>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</si>
  <si>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</si>
  <si>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</si>
  <si>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</si>
  <si>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</si>
  <si>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</si>
  <si>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</si>
  <si>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</si>
  <si>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</si>
  <si>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</si>
  <si>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</si>
  <si>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</si>
  <si>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</si>
  <si>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</si>
  <si>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</si>
  <si>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</si>
  <si>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</si>
  <si>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</si>
  <si>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</si>
  <si>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</si>
  <si>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</si>
  <si>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</si>
  <si>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</si>
  <si>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</si>
  <si>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</si>
  <si>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</si>
  <si>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</si>
  <si>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</si>
  <si>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</si>
  <si>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</si>
  <si>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</si>
  <si>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</si>
  <si>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</si>
  <si>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</si>
  <si>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</si>
  <si>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</si>
  <si>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</si>
  <si>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</si>
  <si>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</si>
  <si>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</si>
  <si>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</si>
  <si>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</si>
  <si>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</si>
  <si>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</si>
  <si>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da empreiteira de alvenaria · NF 16641</t>
  </si>
  <si>
    <t xml:space="preserve">Medição de instalações hidráulicas · NF 77518</t>
  </si>
  <si>
    <t xml:space="preserve">Medição de instalações elétricas · NF 62299</t>
  </si>
  <si>
    <t xml:space="preserve">Encargos e INSS do mês · NF 28795</t>
  </si>
  <si>
    <t xml:space="preserve">Unid. 401 · planta com home office (cliente K. Saraiva)</t>
  </si>
  <si>
    <t xml:space="preserve">Medição da empreiteira de alvenaria · NF 84920</t>
  </si>
  <si>
    <t xml:space="preserve">Medição de instalações hidráulicas · NF 20305</t>
  </si>
  <si>
    <t xml:space="preserve">Medição de instalações elétricas · NF 44627</t>
  </si>
  <si>
    <t xml:space="preserve">Encargos e INSS do mês · NF 78679</t>
  </si>
  <si>
    <t xml:space="preserve">Medição da empreiteira de alvenaria · NF 30792</t>
  </si>
  <si>
    <t xml:space="preserve">Medição de instalações hidráulicas · NF 91040</t>
  </si>
  <si>
    <t xml:space="preserve">Medição de instalações elétricas · NF 24305</t>
  </si>
  <si>
    <t xml:space="preserve">Encargos e INSS do mês · NF 32061</t>
  </si>
  <si>
    <t xml:space="preserve">Unid. 201 · ponto extra de ar-condicionado (cliente L. Fernandes)</t>
  </si>
  <si>
    <t xml:space="preserve">Medição da empreiteira de alvenaria · NF 89644</t>
  </si>
  <si>
    <t xml:space="preserve">Medição de instalações hidráulicas · NF 92962</t>
  </si>
  <si>
    <t xml:space="preserve">Medição de instalações elétricas · NF 83589</t>
  </si>
  <si>
    <t xml:space="preserve">Encargos e INSS do mês · NF 94153</t>
  </si>
  <si>
    <t xml:space="preserve">Revestimento cerâmico interno</t>
  </si>
  <si>
    <t xml:space="preserve">Porcelanato das áreas comuns</t>
  </si>
  <si>
    <t xml:space="preserve">Louças e metais</t>
  </si>
  <si>
    <t xml:space="preserve">Tinta acrílica</t>
  </si>
  <si>
    <t xml:space="preserve">Material para impermeabilização</t>
  </si>
  <si>
    <t xml:space="preserve">Medição de reboco e gesso · NF 36307</t>
  </si>
  <si>
    <t xml:space="preserve">Medição de pintura · NF 96981</t>
  </si>
  <si>
    <t xml:space="preserve">Medição de revestimento · NF 90269</t>
  </si>
  <si>
    <t xml:space="preserve">Medição de instalações elétricas · NF 27008</t>
  </si>
  <si>
    <t xml:space="preserve">Encargos e INSS do mês · NF 96567</t>
  </si>
  <si>
    <t xml:space="preserve">Unid. 302 · revestimento da varanda (cliente M. Albuquerque)</t>
  </si>
  <si>
    <t xml:space="preserve">Medição de reboco e gesso · NF 5553</t>
  </si>
  <si>
    <t xml:space="preserve">Medição de pintura · NF 3158</t>
  </si>
  <si>
    <t xml:space="preserve">Medição de revestimento · NF 90952</t>
  </si>
  <si>
    <t xml:space="preserve">Medição de instalações elétricas · NF 71443</t>
  </si>
  <si>
    <t xml:space="preserve">Encargos e INSS do mês · NF 48848</t>
  </si>
  <si>
    <t xml:space="preserve">Medição de reboco e gesso · NF 81547</t>
  </si>
  <si>
    <t xml:space="preserve">Medição de pintura · NF 83102</t>
  </si>
  <si>
    <t xml:space="preserve">Medição de revestimento · NF 78394</t>
  </si>
  <si>
    <t xml:space="preserve">Medição de instalações elétricas · NF 73291</t>
  </si>
  <si>
    <t xml:space="preserve">Encargos e INSS do mês · NF 35631</t>
  </si>
  <si>
    <t xml:space="preserve">Unid. 1302 · fechamento da cozinha (cliente N. Siqueira)</t>
  </si>
  <si>
    <t xml:space="preserve">Medição de reboco e gesso · NF 29277</t>
  </si>
  <si>
    <t xml:space="preserve">Medição de pintura · NF 86518</t>
  </si>
  <si>
    <t xml:space="preserve">Medição de revestimento · NF 32060</t>
  </si>
  <si>
    <t xml:space="preserve">Medição de instalações elétricas · NF 6258</t>
  </si>
  <si>
    <t xml:space="preserve">Encargos e INSS do mês · NF 13129</t>
  </si>
  <si>
    <t xml:space="preserve">Medição de reboco e gesso · NF 92721</t>
  </si>
  <si>
    <t xml:space="preserve">Medição de pintura · NF 78201</t>
  </si>
  <si>
    <t xml:space="preserve">Medição de revestimento · NF 82046</t>
  </si>
  <si>
    <t xml:space="preserve">Medição de instalações elétricas · NF 96502</t>
  </si>
  <si>
    <t xml:space="preserve">Encargos e INSS do mês · NF 59799</t>
  </si>
  <si>
    <t xml:space="preserve">Unid. 1104 · box e metais de padrão superior (cliente A. Cavalcanti)</t>
  </si>
  <si>
    <t xml:space="preserve">Medição de reboco e gesso · NF 28008</t>
  </si>
  <si>
    <t xml:space="preserve">Medição de pintura · NF 74931</t>
  </si>
  <si>
    <t xml:space="preserve">Medição de revestimento · NF 27266</t>
  </si>
  <si>
    <t xml:space="preserve">Medição de instalações elétricas · NF 17874</t>
  </si>
  <si>
    <t xml:space="preserve">Encargos e INSS do mês · NF 26904</t>
  </si>
  <si>
    <t xml:space="preserve">Medição de reboco e gesso · NF 54007</t>
  </si>
  <si>
    <t xml:space="preserve">Medição de pintura · NF 95391</t>
  </si>
  <si>
    <t xml:space="preserve">Medição de revestimento · NF 14367</t>
  </si>
  <si>
    <t xml:space="preserve">Medição de instalações elétricas · NF 41969</t>
  </si>
  <si>
    <t xml:space="preserve">Encargos e INSS do mês · NF 8963</t>
  </si>
  <si>
    <t xml:space="preserve">Louças e metais de reposição</t>
  </si>
  <si>
    <t xml:space="preserve">Tinta para retoques</t>
  </si>
  <si>
    <t xml:space="preserve">Unid. 801 · iluminação embutida (cliente B. Freire)</t>
  </si>
  <si>
    <t xml:space="preserve">Medição de pintura final · NF 31874</t>
  </si>
  <si>
    <t xml:space="preserve">Limpeza final e entrega · NF 89518</t>
  </si>
  <si>
    <t xml:space="preserve">Encargos e INSS do mês · NF 9346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</si>
</sst>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21400000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0.0368</v>
      </c>
    </row>
    <row r="33" customFormat="false" ht="15" hidden="false" customHeight="false" outlineLevel="0" collapsed="false">
      <c r="B33" s="0" t="s">
        <v>18</v>
      </c>
      <c r="F33" s="9" t="n">
        <v>0.0368</v>
      </c>
    </row>
    <row r="35" customFormat="false" ht="15" hidden="false" customHeight="false" outlineLevel="0" collapsed="false">
      <c r="B35" s="0" t="s">
        <v>19</v>
      </c>
      <c r="F35" s="9" t="n">
        <v>0.67</v>
      </c>
    </row>
    <row r="37" customFormat="false" ht="15" hidden="false" customHeight="false" outlineLevel="0" collapsed="false">
      <c r="B37" s="0" t="s">
        <v>20</v>
      </c>
      <c r="F37" s="9" t="n">
        <v>0.655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14017000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236925.2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382000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154979.44</v>
      </c>
    </row>
    <row r="55" customFormat="false" ht="15" hidden="false" customHeight="false" outlineLevel="0" collapsed="false">
      <c r="B55" s="0" t="s">
        <v>29</v>
      </c>
      <c r="F55" s="8" t="n">
        <v>14314736.27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14314736.27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61781.96</v>
      </c>
    </row>
    <row r="79" customFormat="false" ht="15" hidden="false" customHeight="false" outlineLevel="0" collapsed="false">
      <c r="G79" s="0" t="s">
        <v>38</v>
      </c>
      <c r="J79" s="14" t="n">
        <v>44220.37</v>
      </c>
    </row>
    <row r="80" customFormat="false" ht="15" hidden="false" customHeight="false" outlineLevel="0" collapsed="false">
      <c r="G80" s="0" t="s">
        <v>39</v>
      </c>
      <c r="J80" s="14" t="n">
        <v>31720.14</v>
      </c>
    </row>
    <row r="81" customFormat="false" ht="15" hidden="false" customHeight="false" outlineLevel="0" collapsed="false">
      <c r="G81" s="0" t="s">
        <v>40</v>
      </c>
      <c r="J81" s="14" t="n">
        <v>41041.31</v>
      </c>
    </row>
    <row r="82" customFormat="false" ht="15" hidden="false" customHeight="false" outlineLevel="0" collapsed="false">
      <c r="G82" s="0" t="s">
        <v>41</v>
      </c>
      <c r="J82" s="14" t="n">
        <v>58161.42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236925.2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200553.59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181446.41</v>
      </c>
    </row>
    <row r="94" customFormat="false" ht="15" hidden="false" customHeight="false" outlineLevel="0" collapsed="false">
      <c r="B94" s="0" t="s">
        <v>48</v>
      </c>
      <c r="E94" s="14" t="n">
        <v>64000</v>
      </c>
    </row>
    <row r="95" customFormat="false" ht="15" hidden="false" customHeight="false" outlineLevel="0" collapsed="false">
      <c r="B95" s="0" t="s">
        <v>49</v>
      </c>
      <c r="E95" s="14" t="n">
        <v>71000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382000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52</v>
      </c>
      <c r="E106" s="14" t="n">
        <v>36484.25</v>
      </c>
    </row>
    <row r="107" customFormat="false" ht="15" hidden="false" customHeight="false" outlineLevel="0" collapsed="false">
      <c r="B107" s="0" t="s">
        <v>53</v>
      </c>
      <c r="E107" s="14" t="n">
        <v>42951.28</v>
      </c>
    </row>
    <row r="108" customFormat="false" ht="15" hidden="false" customHeight="false" outlineLevel="0" collapsed="false">
      <c r="B108" s="0" t="s">
        <v>54</v>
      </c>
      <c r="E108" s="14" t="n">
        <v>37865.25</v>
      </c>
    </row>
    <row r="109" customFormat="false" ht="15" hidden="false" customHeight="false" outlineLevel="0" collapsed="false">
      <c r="B109" s="0" t="s">
        <v>55</v>
      </c>
      <c r="E109" s="14" t="n">
        <v>37678.66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154979.44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1209946.33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21400000</v>
      </c>
      <c r="G137" s="15" t="s">
        <v>62</v>
      </c>
      <c r="J137" s="8" t="n">
        <v>1242014.71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32068.3799999999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45901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0.0368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0.0368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0.67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0.655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14017000</v>
      </c>
      <c r="E145" s="18" t="n">
        <f aca="false">D145/$D$137</f>
        <v>0.655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236925.2</v>
      </c>
      <c r="E149" s="18" t="n">
        <f aca="false">D149/$D$137</f>
        <v>0.0110712710280374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0.00856542056074766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382000</v>
      </c>
      <c r="E151" s="18" t="n">
        <f aca="false">D151/$D$137</f>
        <v>0.0178504672897196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154979.44</v>
      </c>
      <c r="E152" s="18" t="n">
        <f aca="false">D152/$D$137</f>
        <v>0.00724202990654206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14314736.27</v>
      </c>
      <c r="E153" s="18" t="n">
        <f aca="false">D153/$D$137</f>
        <v>0.668912909813084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349509.49</v>
      </c>
      <c r="E155" s="19" t="n">
        <f aca="false">D155/D137</f>
        <v>0.0163322191588785</v>
      </c>
    </row>
    <row r="156" customFormat="false" ht="15" hidden="false" customHeight="false" outlineLevel="0" collapsed="false">
      <c r="C156" s="0" t="s">
        <v>85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21489880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0.0359</v>
      </c>
    </row>
    <row r="33" customFormat="false" ht="15" hidden="false" customHeight="false" outlineLevel="0" collapsed="false">
      <c r="B33" s="0" t="s">
        <v>18</v>
      </c>
      <c r="F33" s="9" t="n">
        <v>0.0359</v>
      </c>
    </row>
    <row r="35" customFormat="false" ht="15" hidden="false" customHeight="false" outlineLevel="0" collapsed="false">
      <c r="B35" s="0" t="s">
        <v>19</v>
      </c>
      <c r="F35" s="9" t="n">
        <v>0.7059</v>
      </c>
    </row>
    <row r="37" customFormat="false" ht="15" hidden="false" customHeight="false" outlineLevel="0" collapsed="false">
      <c r="B37" s="0" t="s">
        <v>20</v>
      </c>
      <c r="F37" s="9" t="n">
        <v>0.6909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14847358.092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240572.92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399500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149338.74</v>
      </c>
    </row>
    <row r="55" customFormat="false" ht="15" hidden="false" customHeight="false" outlineLevel="0" collapsed="false">
      <c r="B55" s="0" t="s">
        <v>29</v>
      </c>
      <c r="F55" s="8" t="n">
        <v>15149965.47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15149965.47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40523.37</v>
      </c>
    </row>
    <row r="79" customFormat="false" ht="15" hidden="false" customHeight="false" outlineLevel="0" collapsed="false">
      <c r="G79" s="0" t="s">
        <v>38</v>
      </c>
      <c r="J79" s="14" t="n">
        <v>44741.74</v>
      </c>
    </row>
    <row r="80" customFormat="false" ht="15" hidden="false" customHeight="false" outlineLevel="0" collapsed="false">
      <c r="G80" s="0" t="s">
        <v>39</v>
      </c>
      <c r="J80" s="14" t="n">
        <v>55905.26</v>
      </c>
    </row>
    <row r="81" customFormat="false" ht="15" hidden="false" customHeight="false" outlineLevel="0" collapsed="false">
      <c r="G81" s="0" t="s">
        <v>40</v>
      </c>
      <c r="J81" s="14" t="n">
        <v>50588.27</v>
      </c>
    </row>
    <row r="82" customFormat="false" ht="15" hidden="false" customHeight="false" outlineLevel="0" collapsed="false">
      <c r="G82" s="0" t="s">
        <v>41</v>
      </c>
      <c r="J82" s="14" t="n">
        <v>48814.28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240572.92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209741.25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189758.75</v>
      </c>
    </row>
    <row r="94" customFormat="false" ht="15" hidden="false" customHeight="false" outlineLevel="0" collapsed="false">
      <c r="B94" s="0" t="s">
        <v>48</v>
      </c>
      <c r="E94" s="14" t="n">
        <v>64000</v>
      </c>
    </row>
    <row r="95" customFormat="false" ht="15" hidden="false" customHeight="false" outlineLevel="0" collapsed="false">
      <c r="B95" s="0" t="s">
        <v>49</v>
      </c>
      <c r="E95" s="14" t="n">
        <v>71000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399500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107</v>
      </c>
      <c r="E106" s="14" t="n">
        <v>40748.34</v>
      </c>
    </row>
    <row r="107" customFormat="false" ht="15" hidden="false" customHeight="false" outlineLevel="0" collapsed="false">
      <c r="B107" s="0" t="s">
        <v>108</v>
      </c>
      <c r="E107" s="14" t="n">
        <v>29135.64</v>
      </c>
    </row>
    <row r="108" customFormat="false" ht="15" hidden="false" customHeight="false" outlineLevel="0" collapsed="false">
      <c r="B108" s="0" t="s">
        <v>109</v>
      </c>
      <c r="E108" s="14" t="n">
        <v>49117.14</v>
      </c>
    </row>
    <row r="109" customFormat="false" ht="15" hidden="false" customHeight="false" outlineLevel="0" collapsed="false">
      <c r="B109" s="0" t="s">
        <v>110</v>
      </c>
      <c r="E109" s="14" t="n">
        <v>30337.62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149338.74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814855.02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21489880</v>
      </c>
      <c r="G137" s="15" t="s">
        <v>62</v>
      </c>
      <c r="J137" s="8" t="n">
        <v>835229.2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20374.1799999999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45931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0.0359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0.0359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0.7059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0.6909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14847358.092</v>
      </c>
      <c r="E145" s="18" t="n">
        <f aca="false">D145/$D$137</f>
        <v>0.6909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240572.92</v>
      </c>
      <c r="E149" s="18" t="n">
        <f aca="false">D149/$D$137</f>
        <v>0.0111947074623032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0.00852959625647049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399500</v>
      </c>
      <c r="E151" s="18" t="n">
        <f aca="false">D151/$D$137</f>
        <v>0.0185901456871793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149338.74</v>
      </c>
      <c r="E152" s="18" t="n">
        <f aca="false">D152/$D$137</f>
        <v>0.00694925890698319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15149965.47</v>
      </c>
      <c r="E153" s="18" t="n">
        <f aca="false">D153/$D$137</f>
        <v>0.704981389844894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371426.801999997</v>
      </c>
      <c r="E155" s="19" t="n">
        <f aca="false">D155/D137</f>
        <v>0.0172838006540752</v>
      </c>
    </row>
    <row r="156" customFormat="false" ht="15" hidden="false" customHeight="false" outlineLevel="0" collapsed="false">
      <c r="C156" s="0" t="s">
        <v>85</v>
      </c>
      <c r="D156" s="10" t="n">
        <f aca="false">SET25!D155</f>
        <v>349509.49</v>
      </c>
      <c r="E156" s="17" t="n">
        <f aca="false">SET25!E155</f>
        <v>0.0163322191588785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21579760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0.0348</v>
      </c>
    </row>
    <row r="33" customFormat="false" ht="15" hidden="false" customHeight="false" outlineLevel="0" collapsed="false">
      <c r="B33" s="0" t="s">
        <v>18</v>
      </c>
      <c r="F33" s="9" t="n">
        <v>0.0348</v>
      </c>
    </row>
    <row r="35" customFormat="false" ht="15" hidden="false" customHeight="false" outlineLevel="0" collapsed="false">
      <c r="B35" s="0" t="s">
        <v>19</v>
      </c>
      <c r="F35" s="9" t="n">
        <v>0.7407</v>
      </c>
    </row>
    <row r="37" customFormat="false" ht="15" hidden="false" customHeight="false" outlineLevel="0" collapsed="false">
      <c r="B37" s="0" t="s">
        <v>20</v>
      </c>
      <c r="F37" s="9" t="n">
        <v>0.7257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15660431.832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284802.3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417000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125336.38</v>
      </c>
    </row>
    <row r="55" customFormat="false" ht="15" hidden="false" customHeight="false" outlineLevel="0" collapsed="false">
      <c r="B55" s="0" t="s">
        <v>29</v>
      </c>
      <c r="F55" s="8" t="n">
        <v>16025757.43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16025757.43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40643.05</v>
      </c>
    </row>
    <row r="79" customFormat="false" ht="15" hidden="false" customHeight="false" outlineLevel="0" collapsed="false">
      <c r="G79" s="0" t="s">
        <v>38</v>
      </c>
      <c r="J79" s="14" t="n">
        <v>74953.6</v>
      </c>
    </row>
    <row r="80" customFormat="false" ht="15" hidden="false" customHeight="false" outlineLevel="0" collapsed="false">
      <c r="G80" s="0" t="s">
        <v>39</v>
      </c>
      <c r="J80" s="14" t="n">
        <v>61944.46</v>
      </c>
    </row>
    <row r="81" customFormat="false" ht="15" hidden="false" customHeight="false" outlineLevel="0" collapsed="false">
      <c r="G81" s="0" t="s">
        <v>40</v>
      </c>
      <c r="J81" s="14" t="n">
        <v>52782.66</v>
      </c>
    </row>
    <row r="82" customFormat="false" ht="15" hidden="false" customHeight="false" outlineLevel="0" collapsed="false">
      <c r="G82" s="0" t="s">
        <v>41</v>
      </c>
      <c r="J82" s="14" t="n">
        <v>54478.53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284802.3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142707.75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129111.67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145180.58</v>
      </c>
    </row>
    <row r="95" customFormat="false" ht="15" hidden="false" customHeight="false" outlineLevel="0" collapsed="false">
      <c r="B95" s="0" t="s">
        <v>49</v>
      </c>
      <c r="E95" s="14" t="n">
        <v>71000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417000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112</v>
      </c>
      <c r="E106" s="14" t="n">
        <v>41085.66</v>
      </c>
    </row>
    <row r="107" customFormat="false" ht="15" hidden="false" customHeight="false" outlineLevel="0" collapsed="false">
      <c r="B107" s="0" t="s">
        <v>113</v>
      </c>
      <c r="E107" s="14" t="n">
        <v>33148.07</v>
      </c>
    </row>
    <row r="108" customFormat="false" ht="15" hidden="false" customHeight="false" outlineLevel="0" collapsed="false">
      <c r="B108" s="0" t="s">
        <v>114</v>
      </c>
      <c r="E108" s="14" t="n">
        <v>26280</v>
      </c>
    </row>
    <row r="109" customFormat="false" ht="15" hidden="false" customHeight="false" outlineLevel="0" collapsed="false">
      <c r="B109" s="0" t="s">
        <v>115</v>
      </c>
      <c r="E109" s="14" t="n">
        <v>24822.65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125336.38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884871.41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21579760</v>
      </c>
      <c r="G137" s="15" t="s">
        <v>62</v>
      </c>
      <c r="J137" s="8" t="n">
        <v>875791.96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-9079.45000000007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45962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0.0348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0.0348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0.7407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0.7257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15660431.832</v>
      </c>
      <c r="E145" s="18" t="n">
        <f aca="false">D145/$D$137</f>
        <v>0.7257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284802.3</v>
      </c>
      <c r="E149" s="18" t="n">
        <f aca="false">D149/$D$137</f>
        <v>0.0131976583613534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0.00849407036964267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417000</v>
      </c>
      <c r="E151" s="18" t="n">
        <f aca="false">D151/$D$137</f>
        <v>0.0193236625430496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125336.38</v>
      </c>
      <c r="E152" s="18" t="n">
        <f aca="false">D152/$D$137</f>
        <v>0.00580805254553341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16025757.43</v>
      </c>
      <c r="E153" s="18" t="n">
        <f aca="false">D153/$D$137</f>
        <v>0.742629085309568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394440.322000001</v>
      </c>
      <c r="E155" s="19" t="n">
        <f aca="false">D155/D137</f>
        <v>0.0182782534189444</v>
      </c>
    </row>
    <row r="156" customFormat="false" ht="15" hidden="false" customHeight="false" outlineLevel="0" collapsed="false">
      <c r="C156" s="0" t="s">
        <v>85</v>
      </c>
      <c r="D156" s="10" t="n">
        <f aca="false">OUT25!D155</f>
        <v>371426.801999997</v>
      </c>
      <c r="E156" s="17" t="n">
        <f aca="false">OUT25!E155</f>
        <v>0.0172838006540752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21669640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0.0335</v>
      </c>
    </row>
    <row r="33" customFormat="false" ht="15" hidden="false" customHeight="false" outlineLevel="0" collapsed="false">
      <c r="B33" s="0" t="s">
        <v>18</v>
      </c>
      <c r="F33" s="9" t="n">
        <v>0.0332</v>
      </c>
    </row>
    <row r="35" customFormat="false" ht="15" hidden="false" customHeight="false" outlineLevel="0" collapsed="false">
      <c r="B35" s="0" t="s">
        <v>19</v>
      </c>
      <c r="F35" s="9" t="n">
        <v>0.7742</v>
      </c>
    </row>
    <row r="37" customFormat="false" ht="15" hidden="false" customHeight="false" outlineLevel="0" collapsed="false">
      <c r="B37" s="0" t="s">
        <v>20</v>
      </c>
      <c r="F37" s="9" t="n">
        <v>0.7589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16445089.796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260170.11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434500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151887.8</v>
      </c>
    </row>
    <row r="55" customFormat="false" ht="15" hidden="false" customHeight="false" outlineLevel="0" collapsed="false">
      <c r="B55" s="0" t="s">
        <v>29</v>
      </c>
      <c r="F55" s="8" t="n">
        <v>16752826.47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16752826.47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39373.26</v>
      </c>
    </row>
    <row r="79" customFormat="false" ht="15" hidden="false" customHeight="false" outlineLevel="0" collapsed="false">
      <c r="G79" s="0" t="s">
        <v>38</v>
      </c>
      <c r="J79" s="14" t="n">
        <v>48983.29</v>
      </c>
    </row>
    <row r="80" customFormat="false" ht="15" hidden="false" customHeight="false" outlineLevel="0" collapsed="false">
      <c r="G80" s="0" t="s">
        <v>39</v>
      </c>
      <c r="J80" s="14" t="n">
        <v>65189.66</v>
      </c>
    </row>
    <row r="81" customFormat="false" ht="15" hidden="false" customHeight="false" outlineLevel="0" collapsed="false">
      <c r="G81" s="0" t="s">
        <v>40</v>
      </c>
      <c r="J81" s="14" t="n">
        <v>62713.38</v>
      </c>
    </row>
    <row r="82" customFormat="false" ht="15" hidden="false" customHeight="false" outlineLevel="0" collapsed="false">
      <c r="G82" s="0" t="s">
        <v>41</v>
      </c>
      <c r="J82" s="14" t="n">
        <v>43910.52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260170.11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148696.69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134530.03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151273.28</v>
      </c>
    </row>
    <row r="95" customFormat="false" ht="15" hidden="false" customHeight="false" outlineLevel="0" collapsed="false">
      <c r="B95" s="0" t="s">
        <v>49</v>
      </c>
      <c r="E95" s="14" t="n">
        <v>71000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434500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116</v>
      </c>
      <c r="E106" s="14" t="n">
        <v>42844.51</v>
      </c>
    </row>
    <row r="107" customFormat="false" ht="15" hidden="false" customHeight="false" outlineLevel="0" collapsed="false">
      <c r="B107" s="0" t="s">
        <v>117</v>
      </c>
      <c r="E107" s="14" t="n">
        <v>51871.64</v>
      </c>
    </row>
    <row r="108" customFormat="false" ht="15" hidden="false" customHeight="false" outlineLevel="0" collapsed="false">
      <c r="B108" s="0" t="s">
        <v>118</v>
      </c>
      <c r="E108" s="14" t="n">
        <v>27272.57</v>
      </c>
    </row>
    <row r="109" customFormat="false" ht="15" hidden="false" customHeight="false" outlineLevel="0" collapsed="false">
      <c r="B109" s="0" t="s">
        <v>119</v>
      </c>
      <c r="E109" s="14" t="n">
        <v>29899.08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151887.8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749141.63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21669640</v>
      </c>
      <c r="G137" s="15" t="s">
        <v>62</v>
      </c>
      <c r="J137" s="8" t="n">
        <v>727069.04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-22072.59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45992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0.0335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0.0332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0.7742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0.7589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16445089.796</v>
      </c>
      <c r="E145" s="18" t="n">
        <f aca="false">D145/$D$137</f>
        <v>0.7589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260170.11</v>
      </c>
      <c r="E149" s="18" t="n">
        <f aca="false">D149/$D$137</f>
        <v>0.0120062036102123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0.00845883918699157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434500</v>
      </c>
      <c r="E151" s="18" t="n">
        <f aca="false">D151/$D$137</f>
        <v>0.0200510945267203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151887.8</v>
      </c>
      <c r="E152" s="18" t="n">
        <f aca="false">D152/$D$137</f>
        <v>0.00700924426986327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16752826.47</v>
      </c>
      <c r="E153" s="18" t="n">
        <f aca="false">D153/$D$137</f>
        <v>0.773101282254805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418345.635999998</v>
      </c>
      <c r="E155" s="19" t="n">
        <f aca="false">D155/D137</f>
        <v>0.0193056107992564</v>
      </c>
    </row>
    <row r="156" customFormat="false" ht="15" hidden="false" customHeight="false" outlineLevel="0" collapsed="false">
      <c r="C156" s="0" t="s">
        <v>85</v>
      </c>
      <c r="D156" s="10" t="n">
        <f aca="false">NOV25!D155</f>
        <v>394440.322000001</v>
      </c>
      <c r="E156" s="17" t="n">
        <f aca="false">NOV25!E155</f>
        <v>0.0182782534189444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21759520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0.032</v>
      </c>
    </row>
    <row r="33" customFormat="false" ht="15" hidden="false" customHeight="false" outlineLevel="0" collapsed="false">
      <c r="B33" s="0" t="s">
        <v>18</v>
      </c>
      <c r="F33" s="9" t="n">
        <v>0.0317</v>
      </c>
    </row>
    <row r="35" customFormat="false" ht="15" hidden="false" customHeight="false" outlineLevel="0" collapsed="false">
      <c r="B35" s="0" t="s">
        <v>19</v>
      </c>
      <c r="F35" s="9" t="n">
        <v>0.8062</v>
      </c>
    </row>
    <row r="37" customFormat="false" ht="15" hidden="false" customHeight="false" outlineLevel="0" collapsed="false">
      <c r="B37" s="0" t="s">
        <v>20</v>
      </c>
      <c r="F37" s="9" t="n">
        <v>0.7906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17203076.512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302186.67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452000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153622.69</v>
      </c>
    </row>
    <row r="55" customFormat="false" ht="15" hidden="false" customHeight="false" outlineLevel="0" collapsed="false">
      <c r="B55" s="0" t="s">
        <v>29</v>
      </c>
      <c r="F55" s="8" t="n">
        <v>17543843.54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17543843.54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60504.84</v>
      </c>
    </row>
    <row r="79" customFormat="false" ht="15" hidden="false" customHeight="false" outlineLevel="0" collapsed="false">
      <c r="G79" s="0" t="s">
        <v>38</v>
      </c>
      <c r="J79" s="14" t="n">
        <v>51972.91</v>
      </c>
    </row>
    <row r="80" customFormat="false" ht="15" hidden="false" customHeight="false" outlineLevel="0" collapsed="false">
      <c r="G80" s="0" t="s">
        <v>39</v>
      </c>
      <c r="J80" s="14" t="n">
        <v>76437.02</v>
      </c>
    </row>
    <row r="81" customFormat="false" ht="15" hidden="false" customHeight="false" outlineLevel="0" collapsed="false">
      <c r="G81" s="0" t="s">
        <v>40</v>
      </c>
      <c r="J81" s="14" t="n">
        <v>47176.25</v>
      </c>
    </row>
    <row r="82" customFormat="false" ht="15" hidden="false" customHeight="false" outlineLevel="0" collapsed="false">
      <c r="G82" s="0" t="s">
        <v>41</v>
      </c>
      <c r="J82" s="14" t="n">
        <v>66095.65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302186.67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120733.03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109230.54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122825.08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99211.35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452000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121</v>
      </c>
      <c r="E106" s="14" t="n">
        <v>26810.57</v>
      </c>
    </row>
    <row r="107" customFormat="false" ht="15" hidden="false" customHeight="false" outlineLevel="0" collapsed="false">
      <c r="B107" s="0" t="s">
        <v>122</v>
      </c>
      <c r="E107" s="14" t="n">
        <v>45792.76</v>
      </c>
    </row>
    <row r="108" customFormat="false" ht="15" hidden="false" customHeight="false" outlineLevel="0" collapsed="false">
      <c r="B108" s="0" t="s">
        <v>123</v>
      </c>
      <c r="E108" s="14" t="n">
        <v>42966.12</v>
      </c>
    </row>
    <row r="109" customFormat="false" ht="15" hidden="false" customHeight="false" outlineLevel="0" collapsed="false">
      <c r="B109" s="0" t="s">
        <v>124</v>
      </c>
      <c r="E109" s="14" t="n">
        <v>38053.24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153622.69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858788.01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21759520</v>
      </c>
      <c r="G137" s="15" t="s">
        <v>62</v>
      </c>
      <c r="J137" s="8" t="n">
        <v>791017.07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-67770.9400000001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46023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0.032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0.0317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0.8062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0.7906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17203076.512</v>
      </c>
      <c r="E145" s="18" t="n">
        <f aca="false">D145/$D$137</f>
        <v>0.7906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302186.67</v>
      </c>
      <c r="E149" s="18" t="n">
        <f aca="false">D149/$D$137</f>
        <v>0.0138875613984132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0.00842389905659684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452000</v>
      </c>
      <c r="E151" s="18" t="n">
        <f aca="false">D151/$D$137</f>
        <v>0.0207725170408171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153622.69</v>
      </c>
      <c r="E152" s="18" t="n">
        <f aca="false">D152/$D$137</f>
        <v>0.00706002200416186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17543843.54</v>
      </c>
      <c r="E153" s="18" t="n">
        <f aca="false">D153/$D$137</f>
        <v>0.806260594902829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443096.952</v>
      </c>
      <c r="E155" s="19" t="n">
        <f aca="false">D155/D137</f>
        <v>0.0203633605888365</v>
      </c>
    </row>
    <row r="156" customFormat="false" ht="15" hidden="false" customHeight="false" outlineLevel="0" collapsed="false">
      <c r="C156" s="0" t="s">
        <v>85</v>
      </c>
      <c r="D156" s="10" t="n">
        <f aca="false">DEZ25!D155</f>
        <v>418345.635999998</v>
      </c>
      <c r="E156" s="17" t="n">
        <f aca="false">DEZ25!E155</f>
        <v>0.0193056107992564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21849400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0.0303</v>
      </c>
    </row>
    <row r="33" customFormat="false" ht="15" hidden="false" customHeight="false" outlineLevel="0" collapsed="false">
      <c r="B33" s="0" t="s">
        <v>18</v>
      </c>
      <c r="F33" s="9" t="n">
        <v>0.0291</v>
      </c>
    </row>
    <row r="35" customFormat="false" ht="15" hidden="false" customHeight="false" outlineLevel="0" collapsed="false">
      <c r="B35" s="0" t="s">
        <v>19</v>
      </c>
      <c r="F35" s="9" t="n">
        <v>0.8365</v>
      </c>
    </row>
    <row r="37" customFormat="false" ht="15" hidden="false" customHeight="false" outlineLevel="0" collapsed="false">
      <c r="B37" s="0" t="s">
        <v>20</v>
      </c>
      <c r="F37" s="9" t="n">
        <v>0.8197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17909953.18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180829.82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469500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135084.84</v>
      </c>
    </row>
    <row r="55" customFormat="false" ht="15" hidden="false" customHeight="false" outlineLevel="0" collapsed="false">
      <c r="B55" s="0" t="s">
        <v>29</v>
      </c>
      <c r="F55" s="8" t="n">
        <v>18140260.41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18140260.41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34606.4</v>
      </c>
    </row>
    <row r="79" customFormat="false" ht="15" hidden="false" customHeight="false" outlineLevel="0" collapsed="false">
      <c r="G79" s="0" t="s">
        <v>126</v>
      </c>
      <c r="J79" s="14" t="n">
        <v>20762.94</v>
      </c>
    </row>
    <row r="80" customFormat="false" ht="15" hidden="false" customHeight="false" outlineLevel="0" collapsed="false">
      <c r="G80" s="0" t="s">
        <v>127</v>
      </c>
      <c r="J80" s="14" t="n">
        <v>18864.8</v>
      </c>
    </row>
    <row r="81" customFormat="false" ht="15" hidden="false" customHeight="false" outlineLevel="0" collapsed="false">
      <c r="G81" s="0" t="s">
        <v>40</v>
      </c>
      <c r="J81" s="14" t="n">
        <v>35425.8</v>
      </c>
    </row>
    <row r="82" customFormat="false" ht="15" hidden="false" customHeight="false" outlineLevel="0" collapsed="false">
      <c r="G82" s="0" t="s">
        <v>128</v>
      </c>
      <c r="J82" s="14" t="n">
        <v>32417.33</v>
      </c>
    </row>
    <row r="83" customFormat="false" ht="15" hidden="false" customHeight="false" outlineLevel="0" collapsed="false">
      <c r="G83" s="0" t="s">
        <v>129</v>
      </c>
      <c r="J83" s="14" t="n">
        <v>38752.55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180829.82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125407.43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113459.59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127580.48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103052.5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469500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130</v>
      </c>
      <c r="E106" s="14" t="n">
        <v>31936.68</v>
      </c>
    </row>
    <row r="107" customFormat="false" ht="15" hidden="false" customHeight="false" outlineLevel="0" collapsed="false">
      <c r="B107" s="0" t="s">
        <v>131</v>
      </c>
      <c r="E107" s="14" t="n">
        <v>28509.09</v>
      </c>
    </row>
    <row r="108" customFormat="false" ht="15" hidden="false" customHeight="false" outlineLevel="0" collapsed="false">
      <c r="B108" s="0" t="s">
        <v>132</v>
      </c>
      <c r="E108" s="14" t="n">
        <v>27301.28</v>
      </c>
    </row>
    <row r="109" customFormat="false" ht="15" hidden="false" customHeight="false" outlineLevel="0" collapsed="false">
      <c r="B109" s="0" t="s">
        <v>133</v>
      </c>
      <c r="E109" s="14" t="n">
        <v>15277.06</v>
      </c>
    </row>
    <row r="110" customFormat="false" ht="15" hidden="false" customHeight="false" outlineLevel="0" collapsed="false">
      <c r="B110" s="0" t="s">
        <v>134</v>
      </c>
      <c r="E110" s="14" t="n">
        <v>32060.73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135084.84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622632.45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21849400</v>
      </c>
      <c r="G137" s="15" t="s">
        <v>62</v>
      </c>
      <c r="J137" s="8" t="n">
        <v>596416.87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-26215.58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46054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0.0303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0.0291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0.8365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0.8197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17909953.18</v>
      </c>
      <c r="E145" s="18" t="n">
        <f aca="false">D145/$D$137</f>
        <v>0.8197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180829.82</v>
      </c>
      <c r="E149" s="18" t="n">
        <f aca="false">D149/$D$137</f>
        <v>0.00827619156590112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0.00838924638662847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469500</v>
      </c>
      <c r="E151" s="18" t="n">
        <f aca="false">D151/$D$137</f>
        <v>0.0214880042472562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135084.84</v>
      </c>
      <c r="E152" s="18" t="n">
        <f aca="false">D152/$D$137</f>
        <v>0.00618254231237471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18140260.41</v>
      </c>
      <c r="E153" s="18" t="n">
        <f aca="false">D153/$D$137</f>
        <v>0.830240666105248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468237.75</v>
      </c>
      <c r="E155" s="19" t="n">
        <f aca="false">D155/D137</f>
        <v>0.0214302337821634</v>
      </c>
    </row>
    <row r="156" customFormat="false" ht="15" hidden="false" customHeight="false" outlineLevel="0" collapsed="false">
      <c r="C156" s="0" t="s">
        <v>85</v>
      </c>
      <c r="D156" s="10" t="n">
        <f aca="false">JAN26!D155</f>
        <v>443096.952</v>
      </c>
      <c r="E156" s="17" t="n">
        <f aca="false">JAN26!E155</f>
        <v>0.0203633605888365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21939280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0.0283</v>
      </c>
    </row>
    <row r="33" customFormat="false" ht="15" hidden="false" customHeight="false" outlineLevel="0" collapsed="false">
      <c r="B33" s="0" t="s">
        <v>18</v>
      </c>
      <c r="F33" s="9" t="n">
        <v>0.028</v>
      </c>
    </row>
    <row r="35" customFormat="false" ht="15" hidden="false" customHeight="false" outlineLevel="0" collapsed="false">
      <c r="B35" s="0" t="s">
        <v>19</v>
      </c>
      <c r="F35" s="9" t="n">
        <v>0.8648</v>
      </c>
    </row>
    <row r="37" customFormat="false" ht="15" hidden="false" customHeight="false" outlineLevel="0" collapsed="false">
      <c r="B37" s="0" t="s">
        <v>20</v>
      </c>
      <c r="F37" s="9" t="n">
        <v>0.8477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18597927.656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181531.32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487000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150667.38</v>
      </c>
    </row>
    <row r="55" customFormat="false" ht="15" hidden="false" customHeight="false" outlineLevel="0" collapsed="false">
      <c r="B55" s="0" t="s">
        <v>29</v>
      </c>
      <c r="F55" s="8" t="n">
        <v>18804911.79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18804911.79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28765.73</v>
      </c>
    </row>
    <row r="79" customFormat="false" ht="15" hidden="false" customHeight="false" outlineLevel="0" collapsed="false">
      <c r="G79" s="0" t="s">
        <v>126</v>
      </c>
      <c r="J79" s="14" t="n">
        <v>30209.69</v>
      </c>
    </row>
    <row r="80" customFormat="false" ht="15" hidden="false" customHeight="false" outlineLevel="0" collapsed="false">
      <c r="G80" s="0" t="s">
        <v>127</v>
      </c>
      <c r="J80" s="14" t="n">
        <v>28738.11</v>
      </c>
    </row>
    <row r="81" customFormat="false" ht="15" hidden="false" customHeight="false" outlineLevel="0" collapsed="false">
      <c r="G81" s="0" t="s">
        <v>40</v>
      </c>
      <c r="J81" s="14" t="n">
        <v>30441.33</v>
      </c>
    </row>
    <row r="82" customFormat="false" ht="15" hidden="false" customHeight="false" outlineLevel="0" collapsed="false">
      <c r="G82" s="0" t="s">
        <v>128</v>
      </c>
      <c r="J82" s="14" t="n">
        <v>34017.84</v>
      </c>
    </row>
    <row r="83" customFormat="false" ht="15" hidden="false" customHeight="false" outlineLevel="0" collapsed="false">
      <c r="G83" s="0" t="s">
        <v>129</v>
      </c>
      <c r="J83" s="14" t="n">
        <v>29358.62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181531.32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109912.13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99440.57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111816.68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90319.36</v>
      </c>
    </row>
    <row r="96" customFormat="false" ht="15" hidden="false" customHeight="false" outlineLevel="0" collapsed="false">
      <c r="G96" s="0" t="s">
        <v>135</v>
      </c>
      <c r="J96" s="14" t="n">
        <v>75511.26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487000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136</v>
      </c>
      <c r="E106" s="14" t="n">
        <v>36917.03</v>
      </c>
    </row>
    <row r="107" customFormat="false" ht="15" hidden="false" customHeight="false" outlineLevel="0" collapsed="false">
      <c r="B107" s="0" t="s">
        <v>137</v>
      </c>
      <c r="E107" s="14" t="n">
        <v>24689.82</v>
      </c>
    </row>
    <row r="108" customFormat="false" ht="15" hidden="false" customHeight="false" outlineLevel="0" collapsed="false">
      <c r="B108" s="0" t="s">
        <v>138</v>
      </c>
      <c r="E108" s="14" t="n">
        <v>27525.63</v>
      </c>
    </row>
    <row r="109" customFormat="false" ht="15" hidden="false" customHeight="false" outlineLevel="0" collapsed="false">
      <c r="B109" s="0" t="s">
        <v>139</v>
      </c>
      <c r="E109" s="14" t="n">
        <v>33318.65</v>
      </c>
    </row>
    <row r="110" customFormat="false" ht="15" hidden="false" customHeight="false" outlineLevel="0" collapsed="false">
      <c r="B110" s="0" t="s">
        <v>140</v>
      </c>
      <c r="E110" s="14" t="n">
        <v>28216.25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150667.38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667727.01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21939280</v>
      </c>
      <c r="G137" s="15" t="s">
        <v>62</v>
      </c>
      <c r="J137" s="8" t="n">
        <v>664651.38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-3075.63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46082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0.0283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0.028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0.8648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0.8477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18597927.656</v>
      </c>
      <c r="E145" s="18" t="n">
        <f aca="false">D145/$D$137</f>
        <v>0.8477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181531.32</v>
      </c>
      <c r="E149" s="18" t="n">
        <f aca="false">D149/$D$137</f>
        <v>0.00827426059560751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0.00835487764411594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487000</v>
      </c>
      <c r="E151" s="18" t="n">
        <f aca="false">D151/$D$137</f>
        <v>0.0221976290926594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150667.38</v>
      </c>
      <c r="E152" s="18" t="n">
        <f aca="false">D152/$D$137</f>
        <v>0.00686747149405085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18804911.79</v>
      </c>
      <c r="E153" s="18" t="n">
        <f aca="false">D153/$D$137</f>
        <v>0.857134408695272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494179.806000002</v>
      </c>
      <c r="E155" s="19" t="n">
        <f aca="false">D155/D137</f>
        <v>0.0225248871430604</v>
      </c>
    </row>
    <row r="156" customFormat="false" ht="15" hidden="false" customHeight="false" outlineLevel="0" collapsed="false">
      <c r="C156" s="0" t="s">
        <v>85</v>
      </c>
      <c r="D156" s="10" t="n">
        <f aca="false">FEV26!D155</f>
        <v>468237.75</v>
      </c>
      <c r="E156" s="17" t="n">
        <f aca="false">FEV26!E155</f>
        <v>0.0214302337821634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22029160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0.0262</v>
      </c>
    </row>
    <row r="33" customFormat="false" ht="15" hidden="false" customHeight="false" outlineLevel="0" collapsed="false">
      <c r="B33" s="0" t="s">
        <v>18</v>
      </c>
      <c r="F33" s="9" t="n">
        <v>0.0252</v>
      </c>
    </row>
    <row r="35" customFormat="false" ht="15" hidden="false" customHeight="false" outlineLevel="0" collapsed="false">
      <c r="B35" s="0" t="s">
        <v>19</v>
      </c>
      <c r="F35" s="9" t="n">
        <v>0.891</v>
      </c>
    </row>
    <row r="37" customFormat="false" ht="15" hidden="false" customHeight="false" outlineLevel="0" collapsed="false">
      <c r="B37" s="0" t="s">
        <v>20</v>
      </c>
      <c r="F37" s="9" t="n">
        <v>0.8729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19229253.764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216114.16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504500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112131.97</v>
      </c>
    </row>
    <row r="55" customFormat="false" ht="15" hidden="false" customHeight="false" outlineLevel="0" collapsed="false">
      <c r="B55" s="0" t="s">
        <v>29</v>
      </c>
      <c r="F55" s="8" t="n">
        <v>19522502.28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19522502.28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28725.62</v>
      </c>
    </row>
    <row r="79" customFormat="false" ht="15" hidden="false" customHeight="false" outlineLevel="0" collapsed="false">
      <c r="G79" s="0" t="s">
        <v>126</v>
      </c>
      <c r="J79" s="14" t="n">
        <v>46064.94</v>
      </c>
    </row>
    <row r="80" customFormat="false" ht="15" hidden="false" customHeight="false" outlineLevel="0" collapsed="false">
      <c r="G80" s="0" t="s">
        <v>127</v>
      </c>
      <c r="J80" s="14" t="n">
        <v>33191.72</v>
      </c>
    </row>
    <row r="81" customFormat="false" ht="15" hidden="false" customHeight="false" outlineLevel="0" collapsed="false">
      <c r="G81" s="0" t="s">
        <v>40</v>
      </c>
      <c r="J81" s="14" t="n">
        <v>24974.82</v>
      </c>
    </row>
    <row r="82" customFormat="false" ht="15" hidden="false" customHeight="false" outlineLevel="0" collapsed="false">
      <c r="G82" s="0" t="s">
        <v>128</v>
      </c>
      <c r="J82" s="14" t="n">
        <v>42241.78</v>
      </c>
    </row>
    <row r="83" customFormat="false" ht="15" hidden="false" customHeight="false" outlineLevel="0" collapsed="false">
      <c r="G83" s="0" t="s">
        <v>129</v>
      </c>
      <c r="J83" s="14" t="n">
        <v>40915.28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216114.16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113861.75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103013.89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115834.73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93564.93</v>
      </c>
    </row>
    <row r="96" customFormat="false" ht="15" hidden="false" customHeight="false" outlineLevel="0" collapsed="false">
      <c r="G96" s="0" t="s">
        <v>135</v>
      </c>
      <c r="J96" s="14" t="n">
        <v>78224.7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504500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141</v>
      </c>
      <c r="E106" s="14" t="n">
        <v>23211.59</v>
      </c>
    </row>
    <row r="107" customFormat="false" ht="15" hidden="false" customHeight="false" outlineLevel="0" collapsed="false">
      <c r="B107" s="0" t="s">
        <v>142</v>
      </c>
      <c r="E107" s="14" t="n">
        <v>18927.94</v>
      </c>
    </row>
    <row r="108" customFormat="false" ht="15" hidden="false" customHeight="false" outlineLevel="0" collapsed="false">
      <c r="B108" s="0" t="s">
        <v>143</v>
      </c>
      <c r="E108" s="14" t="n">
        <v>20267.77</v>
      </c>
    </row>
    <row r="109" customFormat="false" ht="15" hidden="false" customHeight="false" outlineLevel="0" collapsed="false">
      <c r="B109" s="0" t="s">
        <v>144</v>
      </c>
      <c r="E109" s="14" t="n">
        <v>25103.74</v>
      </c>
    </row>
    <row r="110" customFormat="false" ht="15" hidden="false" customHeight="false" outlineLevel="0" collapsed="false">
      <c r="B110" s="0" t="s">
        <v>145</v>
      </c>
      <c r="E110" s="14" t="n">
        <v>24620.93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112131.97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696245.72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22029160</v>
      </c>
      <c r="G137" s="15" t="s">
        <v>62</v>
      </c>
      <c r="J137" s="8" t="n">
        <v>717590.49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21344.77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46113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0.0262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0.0252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0.891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0.8729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19229253.764</v>
      </c>
      <c r="E145" s="18" t="n">
        <f aca="false">D145/$D$137</f>
        <v>0.8729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216114.16</v>
      </c>
      <c r="E149" s="18" t="n">
        <f aca="false">D149/$D$137</f>
        <v>0.00981036771261365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0.00832078935374749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504500</v>
      </c>
      <c r="E151" s="18" t="n">
        <f aca="false">D151/$D$137</f>
        <v>0.0229014633331457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112131.97</v>
      </c>
      <c r="E152" s="18" t="n">
        <f aca="false">D152/$D$137</f>
        <v>0.00509016095030405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19522502.28</v>
      </c>
      <c r="E153" s="18" t="n">
        <f aca="false">D153/$D$137</f>
        <v>0.886211833769422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498533.673999999</v>
      </c>
      <c r="E155" s="19" t="n">
        <f aca="false">D155/D137</f>
        <v>0.0226306256797807</v>
      </c>
    </row>
    <row r="156" customFormat="false" ht="15" hidden="false" customHeight="false" outlineLevel="0" collapsed="false">
      <c r="C156" s="0" t="s">
        <v>85</v>
      </c>
      <c r="D156" s="10" t="n">
        <f aca="false">MAR26!D155</f>
        <v>494179.806000002</v>
      </c>
      <c r="E156" s="17" t="n">
        <f aca="false">MAR26!E155</f>
        <v>0.0225248871430604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22119040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0.0239</v>
      </c>
    </row>
    <row r="33" customFormat="false" ht="15" hidden="false" customHeight="false" outlineLevel="0" collapsed="false">
      <c r="B33" s="0" t="s">
        <v>18</v>
      </c>
      <c r="F33" s="9" t="n">
        <v>0.0237</v>
      </c>
    </row>
    <row r="35" customFormat="false" ht="15" hidden="false" customHeight="false" outlineLevel="0" collapsed="false">
      <c r="B35" s="0" t="s">
        <v>19</v>
      </c>
      <c r="F35" s="9" t="n">
        <v>0.9149</v>
      </c>
    </row>
    <row r="37" customFormat="false" ht="15" hidden="false" customHeight="false" outlineLevel="0" collapsed="false">
      <c r="B37" s="0" t="s">
        <v>20</v>
      </c>
      <c r="F37" s="9" t="n">
        <v>0.8966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19831931.264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217652.63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522000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126255.97</v>
      </c>
    </row>
    <row r="55" customFormat="false" ht="15" hidden="false" customHeight="false" outlineLevel="0" collapsed="false">
      <c r="B55" s="0" t="s">
        <v>29</v>
      </c>
      <c r="F55" s="8" t="n">
        <v>20126612.07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20126612.07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24734.13</v>
      </c>
    </row>
    <row r="79" customFormat="false" ht="15" hidden="false" customHeight="false" outlineLevel="0" collapsed="false">
      <c r="G79" s="0" t="s">
        <v>126</v>
      </c>
      <c r="J79" s="14" t="n">
        <v>32918.92</v>
      </c>
    </row>
    <row r="80" customFormat="false" ht="15" hidden="false" customHeight="false" outlineLevel="0" collapsed="false">
      <c r="G80" s="0" t="s">
        <v>127</v>
      </c>
      <c r="J80" s="14" t="n">
        <v>47111.9</v>
      </c>
    </row>
    <row r="81" customFormat="false" ht="15" hidden="false" customHeight="false" outlineLevel="0" collapsed="false">
      <c r="G81" s="0" t="s">
        <v>40</v>
      </c>
      <c r="J81" s="14" t="n">
        <v>43920.09</v>
      </c>
    </row>
    <row r="82" customFormat="false" ht="15" hidden="false" customHeight="false" outlineLevel="0" collapsed="false">
      <c r="G82" s="0" t="s">
        <v>128</v>
      </c>
      <c r="J82" s="14" t="n">
        <v>27087.34</v>
      </c>
    </row>
    <row r="83" customFormat="false" ht="15" hidden="false" customHeight="false" outlineLevel="0" collapsed="false">
      <c r="G83" s="0" t="s">
        <v>129</v>
      </c>
      <c r="J83" s="14" t="n">
        <v>41880.25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217652.63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97831.71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88511.07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99526.93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80392.38</v>
      </c>
    </row>
    <row r="96" customFormat="false" ht="15" hidden="false" customHeight="false" outlineLevel="0" collapsed="false">
      <c r="G96" s="0" t="s">
        <v>135</v>
      </c>
      <c r="J96" s="14" t="n">
        <v>67211.83</v>
      </c>
    </row>
    <row r="97" customFormat="false" ht="15" hidden="false" customHeight="false" outlineLevel="0" collapsed="false">
      <c r="G97" s="0" t="s">
        <v>146</v>
      </c>
      <c r="J97" s="14" t="n">
        <v>88526.08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522000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147</v>
      </c>
      <c r="E106" s="14" t="n">
        <v>19950.16</v>
      </c>
    </row>
    <row r="107" customFormat="false" ht="15" hidden="false" customHeight="false" outlineLevel="0" collapsed="false">
      <c r="B107" s="0" t="s">
        <v>148</v>
      </c>
      <c r="E107" s="14" t="n">
        <v>28868.94</v>
      </c>
    </row>
    <row r="108" customFormat="false" ht="15" hidden="false" customHeight="false" outlineLevel="0" collapsed="false">
      <c r="B108" s="0" t="s">
        <v>149</v>
      </c>
      <c r="E108" s="14" t="n">
        <v>29563.11</v>
      </c>
    </row>
    <row r="109" customFormat="false" ht="15" hidden="false" customHeight="false" outlineLevel="0" collapsed="false">
      <c r="B109" s="0" t="s">
        <v>150</v>
      </c>
      <c r="E109" s="14" t="n">
        <v>17483.45</v>
      </c>
    </row>
    <row r="110" customFormat="false" ht="15" hidden="false" customHeight="false" outlineLevel="0" collapsed="false">
      <c r="B110" s="0" t="s">
        <v>151</v>
      </c>
      <c r="E110" s="14" t="n">
        <v>30390.31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126255.97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559649.93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22119040</v>
      </c>
      <c r="G137" s="15" t="s">
        <v>62</v>
      </c>
      <c r="J137" s="8" t="n">
        <v>604109.79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44459.86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46143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0.0239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0.0237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0.9149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0.8966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19831931.264</v>
      </c>
      <c r="E145" s="18" t="n">
        <f aca="false">D145/$D$137</f>
        <v>0.8966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217652.63</v>
      </c>
      <c r="E149" s="18" t="n">
        <f aca="false">D149/$D$137</f>
        <v>0.00984005770594022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0.00828697809669859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522000</v>
      </c>
      <c r="E151" s="18" t="n">
        <f aca="false">D151/$D$137</f>
        <v>0.0235995775585197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126255.97</v>
      </c>
      <c r="E152" s="18" t="n">
        <f aca="false">D152/$D$137</f>
        <v>0.00570802213839299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20126612.07</v>
      </c>
      <c r="E153" s="18" t="n">
        <f aca="false">D153/$D$137</f>
        <v>0.909922495280085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502015.853999998</v>
      </c>
      <c r="E155" s="19" t="n">
        <f aca="false">D155/D137</f>
        <v>0.022696095942681</v>
      </c>
    </row>
    <row r="156" customFormat="false" ht="15" hidden="false" customHeight="false" outlineLevel="0" collapsed="false">
      <c r="C156" s="0" t="s">
        <v>85</v>
      </c>
      <c r="D156" s="10" t="n">
        <f aca="false">ABR26!D155</f>
        <v>498533.673999999</v>
      </c>
      <c r="E156" s="17" t="n">
        <f aca="false">ABR26!E155</f>
        <v>0.0226306256797807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22208920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0.0214</v>
      </c>
    </row>
    <row r="33" customFormat="false" ht="15" hidden="false" customHeight="false" outlineLevel="0" collapsed="false">
      <c r="B33" s="0" t="s">
        <v>18</v>
      </c>
      <c r="F33" s="9" t="n">
        <v>0.0219</v>
      </c>
    </row>
    <row r="35" customFormat="false" ht="15" hidden="false" customHeight="false" outlineLevel="0" collapsed="false">
      <c r="B35" s="0" t="s">
        <v>19</v>
      </c>
      <c r="F35" s="9" t="n">
        <v>0.9363</v>
      </c>
    </row>
    <row r="37" customFormat="false" ht="15" hidden="false" customHeight="false" outlineLevel="0" collapsed="false">
      <c r="B37" s="0" t="s">
        <v>20</v>
      </c>
      <c r="F37" s="9" t="n">
        <v>0.9185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20398893.02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190387.92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539500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91273.27</v>
      </c>
    </row>
    <row r="55" customFormat="false" ht="15" hidden="false" customHeight="false" outlineLevel="0" collapsed="false">
      <c r="B55" s="0" t="s">
        <v>29</v>
      </c>
      <c r="F55" s="8" t="n">
        <v>20716265.26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20716265.26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33104.49</v>
      </c>
    </row>
    <row r="79" customFormat="false" ht="15" hidden="false" customHeight="false" outlineLevel="0" collapsed="false">
      <c r="G79" s="0" t="s">
        <v>126</v>
      </c>
      <c r="J79" s="14" t="n">
        <v>36778.08</v>
      </c>
    </row>
    <row r="80" customFormat="false" ht="15" hidden="false" customHeight="false" outlineLevel="0" collapsed="false">
      <c r="G80" s="0" t="s">
        <v>127</v>
      </c>
      <c r="J80" s="14" t="n">
        <v>21266.64</v>
      </c>
    </row>
    <row r="81" customFormat="false" ht="15" hidden="false" customHeight="false" outlineLevel="0" collapsed="false">
      <c r="G81" s="0" t="s">
        <v>40</v>
      </c>
      <c r="J81" s="14" t="n">
        <v>26071.12</v>
      </c>
    </row>
    <row r="82" customFormat="false" ht="15" hidden="false" customHeight="false" outlineLevel="0" collapsed="false">
      <c r="G82" s="0" t="s">
        <v>128</v>
      </c>
      <c r="J82" s="14" t="n">
        <v>35901.11</v>
      </c>
    </row>
    <row r="83" customFormat="false" ht="15" hidden="false" customHeight="false" outlineLevel="0" collapsed="false">
      <c r="G83" s="0" t="s">
        <v>129</v>
      </c>
      <c r="J83" s="14" t="n">
        <v>37266.48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190387.92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101111.51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91478.4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102863.56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83087.53</v>
      </c>
    </row>
    <row r="96" customFormat="false" ht="15" hidden="false" customHeight="false" outlineLevel="0" collapsed="false">
      <c r="G96" s="0" t="s">
        <v>135</v>
      </c>
      <c r="J96" s="14" t="n">
        <v>69465.1</v>
      </c>
    </row>
    <row r="97" customFormat="false" ht="15" hidden="false" customHeight="false" outlineLevel="0" collapsed="false">
      <c r="G97" s="0" t="s">
        <v>146</v>
      </c>
      <c r="J97" s="14" t="n">
        <v>91493.9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539500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152</v>
      </c>
      <c r="E106" s="14" t="n">
        <v>23899.27</v>
      </c>
    </row>
    <row r="107" customFormat="false" ht="15" hidden="false" customHeight="false" outlineLevel="0" collapsed="false">
      <c r="B107" s="0" t="s">
        <v>153</v>
      </c>
      <c r="E107" s="14" t="n">
        <v>15864.55</v>
      </c>
    </row>
    <row r="108" customFormat="false" ht="15" hidden="false" customHeight="false" outlineLevel="0" collapsed="false">
      <c r="B108" s="0" t="s">
        <v>154</v>
      </c>
      <c r="E108" s="14" t="n">
        <v>20829.78</v>
      </c>
    </row>
    <row r="109" customFormat="false" ht="15" hidden="false" customHeight="false" outlineLevel="0" collapsed="false">
      <c r="B109" s="0" t="s">
        <v>155</v>
      </c>
      <c r="E109" s="14" t="n">
        <v>18247.54</v>
      </c>
    </row>
    <row r="110" customFormat="false" ht="15" hidden="false" customHeight="false" outlineLevel="0" collapsed="false">
      <c r="B110" s="0" t="s">
        <v>156</v>
      </c>
      <c r="E110" s="14" t="n">
        <v>12432.13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91273.27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564393.3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22208920</v>
      </c>
      <c r="G137" s="15" t="s">
        <v>62</v>
      </c>
      <c r="J137" s="8" t="n">
        <v>589653.19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25259.8899999999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46174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0.0214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0.0219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0.9363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0.9185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20398893.02</v>
      </c>
      <c r="E145" s="18" t="n">
        <f aca="false">D145/$D$137</f>
        <v>0.9185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190387.92</v>
      </c>
      <c r="E149" s="18" t="n">
        <f aca="false">D149/$D$137</f>
        <v>0.00857258795114756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0.00825344050948898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539500</v>
      </c>
      <c r="E151" s="18" t="n">
        <f aca="false">D151/$D$137</f>
        <v>0.0242920412158718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91273.27</v>
      </c>
      <c r="E152" s="18" t="n">
        <f aca="false">D152/$D$137</f>
        <v>0.00410975725069026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20716265.26</v>
      </c>
      <c r="E153" s="18" t="n">
        <f aca="false">D153/$D$137</f>
        <v>0.932790304976559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504542.41</v>
      </c>
      <c r="E155" s="19" t="n">
        <f aca="false">D155/D137</f>
        <v>0.0227180074492591</v>
      </c>
    </row>
    <row r="156" customFormat="false" ht="15" hidden="false" customHeight="false" outlineLevel="0" collapsed="false">
      <c r="C156" s="0" t="s">
        <v>85</v>
      </c>
      <c r="D156" s="10" t="n">
        <f aca="false">MAI26!D155</f>
        <v>502015.853999998</v>
      </c>
      <c r="E156" s="17" t="n">
        <f aca="false">MAI26!E155</f>
        <v>0.022696095942681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22298800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0.0186</v>
      </c>
    </row>
    <row r="33" customFormat="false" ht="15" hidden="false" customHeight="false" outlineLevel="0" collapsed="false">
      <c r="B33" s="0" t="s">
        <v>18</v>
      </c>
      <c r="F33" s="9" t="n">
        <v>0.0197</v>
      </c>
    </row>
    <row r="35" customFormat="false" ht="15" hidden="false" customHeight="false" outlineLevel="0" collapsed="false">
      <c r="B35" s="0" t="s">
        <v>19</v>
      </c>
      <c r="F35" s="9" t="n">
        <v>0.9549</v>
      </c>
    </row>
    <row r="37" customFormat="false" ht="15" hidden="false" customHeight="false" outlineLevel="0" collapsed="false">
      <c r="B37" s="0" t="s">
        <v>20</v>
      </c>
      <c r="F37" s="9" t="n">
        <v>0.9382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20920734.16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220847.31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557000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85706.45</v>
      </c>
    </row>
    <row r="55" customFormat="false" ht="15" hidden="false" customHeight="false" outlineLevel="0" collapsed="false">
      <c r="B55" s="0" t="s">
        <v>29</v>
      </c>
      <c r="F55" s="8" t="n">
        <v>21290172.52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21290172.52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43706.24</v>
      </c>
    </row>
    <row r="79" customFormat="false" ht="15" hidden="false" customHeight="false" outlineLevel="0" collapsed="false">
      <c r="G79" s="0" t="s">
        <v>126</v>
      </c>
      <c r="J79" s="14" t="n">
        <v>25781.31</v>
      </c>
    </row>
    <row r="80" customFormat="false" ht="15" hidden="false" customHeight="false" outlineLevel="0" collapsed="false">
      <c r="G80" s="0" t="s">
        <v>127</v>
      </c>
      <c r="J80" s="14" t="n">
        <v>34372.29</v>
      </c>
    </row>
    <row r="81" customFormat="false" ht="15" hidden="false" customHeight="false" outlineLevel="0" collapsed="false">
      <c r="G81" s="0" t="s">
        <v>40</v>
      </c>
      <c r="J81" s="14" t="n">
        <v>33673.58</v>
      </c>
    </row>
    <row r="82" customFormat="false" ht="15" hidden="false" customHeight="false" outlineLevel="0" collapsed="false">
      <c r="G82" s="0" t="s">
        <v>128</v>
      </c>
      <c r="J82" s="14" t="n">
        <v>54260.27</v>
      </c>
    </row>
    <row r="83" customFormat="false" ht="15" hidden="false" customHeight="false" outlineLevel="0" collapsed="false">
      <c r="G83" s="0" t="s">
        <v>129</v>
      </c>
      <c r="J83" s="14" t="n">
        <v>29053.62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220847.31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85730.76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77563.01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87216.29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70448.53</v>
      </c>
    </row>
    <row r="96" customFormat="false" ht="15" hidden="false" customHeight="false" outlineLevel="0" collapsed="false">
      <c r="G96" s="0" t="s">
        <v>135</v>
      </c>
      <c r="J96" s="14" t="n">
        <v>58898.3</v>
      </c>
    </row>
    <row r="97" customFormat="false" ht="15" hidden="false" customHeight="false" outlineLevel="0" collapsed="false">
      <c r="G97" s="0" t="s">
        <v>146</v>
      </c>
      <c r="J97" s="14" t="n">
        <v>77576.15</v>
      </c>
    </row>
    <row r="98" customFormat="false" ht="15" hidden="false" customHeight="false" outlineLevel="0" collapsed="false">
      <c r="G98" s="0" t="s">
        <v>157</v>
      </c>
      <c r="J98" s="14" t="n">
        <v>99566.96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557000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158</v>
      </c>
      <c r="E106" s="14" t="n">
        <v>10932.37</v>
      </c>
    </row>
    <row r="107" customFormat="false" ht="15" hidden="false" customHeight="false" outlineLevel="0" collapsed="false">
      <c r="B107" s="0" t="s">
        <v>159</v>
      </c>
      <c r="E107" s="14" t="n">
        <v>15009.36</v>
      </c>
    </row>
    <row r="108" customFormat="false" ht="15" hidden="false" customHeight="false" outlineLevel="0" collapsed="false">
      <c r="B108" s="0" t="s">
        <v>160</v>
      </c>
      <c r="E108" s="14" t="n">
        <v>19245.01</v>
      </c>
    </row>
    <row r="109" customFormat="false" ht="15" hidden="false" customHeight="false" outlineLevel="0" collapsed="false">
      <c r="B109" s="0" t="s">
        <v>161</v>
      </c>
      <c r="E109" s="14" t="n">
        <v>20790.92</v>
      </c>
    </row>
    <row r="110" customFormat="false" ht="15" hidden="false" customHeight="false" outlineLevel="0" collapsed="false">
      <c r="B110" s="0" t="s">
        <v>162</v>
      </c>
      <c r="E110" s="14" t="n">
        <v>19728.79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85706.45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557916.62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22298800</v>
      </c>
      <c r="G137" s="15" t="s">
        <v>62</v>
      </c>
      <c r="J137" s="8" t="n">
        <v>573907.26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15990.64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46204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0.0186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0.0197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0.9549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0.9382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20920734.16</v>
      </c>
      <c r="E145" s="18" t="n">
        <f aca="false">D145/$D$137</f>
        <v>0.9382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220847.31</v>
      </c>
      <c r="E149" s="18" t="n">
        <f aca="false">D149/$D$137</f>
        <v>0.0099039997668036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0.00822017328286724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557000</v>
      </c>
      <c r="E151" s="18" t="n">
        <f aca="false">D151/$D$137</f>
        <v>0.024978922632608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85706.45</v>
      </c>
      <c r="E152" s="18" t="n">
        <f aca="false">D152/$D$137</f>
        <v>0.00384354539257718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21290172.52</v>
      </c>
      <c r="E153" s="18" t="n">
        <f aca="false">D153/$D$137</f>
        <v>0.954767634132778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506002.5</v>
      </c>
      <c r="E155" s="19" t="n">
        <f aca="false">D155/D137</f>
        <v>0.0226919161569232</v>
      </c>
    </row>
    <row r="156" customFormat="false" ht="15" hidden="false" customHeight="false" outlineLevel="0" collapsed="false">
      <c r="C156" s="0" t="s">
        <v>85</v>
      </c>
      <c r="D156" s="10" t="n">
        <f aca="false">JUN26!D155</f>
        <v>504542.41</v>
      </c>
      <c r="E156" s="17" t="n">
        <f aca="false">JUN26!E155</f>
        <v>0.0227180074492591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22388680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0.0157</v>
      </c>
    </row>
    <row r="33" customFormat="false" ht="15" hidden="false" customHeight="false" outlineLevel="0" collapsed="false">
      <c r="B33" s="0" t="s">
        <v>18</v>
      </c>
      <c r="F33" s="9" t="n">
        <v>0.0202</v>
      </c>
    </row>
    <row r="35" customFormat="false" ht="15" hidden="false" customHeight="false" outlineLevel="0" collapsed="false">
      <c r="B35" s="0" t="s">
        <v>19</v>
      </c>
      <c r="F35" s="9" t="n">
        <v>0.9706</v>
      </c>
    </row>
    <row r="37" customFormat="false" ht="15" hidden="false" customHeight="false" outlineLevel="0" collapsed="false">
      <c r="B37" s="0" t="s">
        <v>20</v>
      </c>
      <c r="F37" s="9" t="n">
        <v>0.9584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21457310.912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237201.62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574500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72903.09</v>
      </c>
    </row>
    <row r="55" customFormat="false" ht="15" hidden="false" customHeight="false" outlineLevel="0" collapsed="false">
      <c r="B55" s="0" t="s">
        <v>29</v>
      </c>
      <c r="F55" s="8" t="n">
        <v>21872066.01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21872066.01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125</v>
      </c>
      <c r="J78" s="14" t="n">
        <v>32084.76</v>
      </c>
    </row>
    <row r="79" customFormat="false" ht="15" hidden="false" customHeight="false" outlineLevel="0" collapsed="false">
      <c r="G79" s="0" t="s">
        <v>126</v>
      </c>
      <c r="J79" s="14" t="n">
        <v>46198.98</v>
      </c>
    </row>
    <row r="80" customFormat="false" ht="15" hidden="false" customHeight="false" outlineLevel="0" collapsed="false">
      <c r="G80" s="0" t="s">
        <v>127</v>
      </c>
      <c r="J80" s="14" t="n">
        <v>50591.58</v>
      </c>
    </row>
    <row r="81" customFormat="false" ht="15" hidden="false" customHeight="false" outlineLevel="0" collapsed="false">
      <c r="G81" s="0" t="s">
        <v>40</v>
      </c>
      <c r="J81" s="14" t="n">
        <v>29720.6</v>
      </c>
    </row>
    <row r="82" customFormat="false" ht="15" hidden="false" customHeight="false" outlineLevel="0" collapsed="false">
      <c r="G82" s="0" t="s">
        <v>128</v>
      </c>
      <c r="J82" s="14" t="n">
        <v>42141.89</v>
      </c>
    </row>
    <row r="83" customFormat="false" ht="15" hidden="false" customHeight="false" outlineLevel="0" collapsed="false">
      <c r="G83" s="0" t="s">
        <v>129</v>
      </c>
      <c r="J83" s="14" t="n">
        <v>36463.81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237201.62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88424.28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79999.9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89956.48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72661.9</v>
      </c>
    </row>
    <row r="96" customFormat="false" ht="15" hidden="false" customHeight="false" outlineLevel="0" collapsed="false">
      <c r="G96" s="0" t="s">
        <v>135</v>
      </c>
      <c r="J96" s="14" t="n">
        <v>60748.78</v>
      </c>
    </row>
    <row r="97" customFormat="false" ht="15" hidden="false" customHeight="false" outlineLevel="0" collapsed="false">
      <c r="G97" s="0" t="s">
        <v>146</v>
      </c>
      <c r="J97" s="14" t="n">
        <v>80013.46</v>
      </c>
    </row>
    <row r="98" customFormat="false" ht="15" hidden="false" customHeight="false" outlineLevel="0" collapsed="false">
      <c r="G98" s="0" t="s">
        <v>157</v>
      </c>
      <c r="J98" s="14" t="n">
        <v>102695.2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574500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163</v>
      </c>
      <c r="E106" s="14" t="n">
        <v>13989.41</v>
      </c>
    </row>
    <row r="107" customFormat="false" ht="15" hidden="false" customHeight="false" outlineLevel="0" collapsed="false">
      <c r="B107" s="0" t="s">
        <v>164</v>
      </c>
      <c r="E107" s="14" t="n">
        <v>17175.79</v>
      </c>
    </row>
    <row r="108" customFormat="false" ht="15" hidden="false" customHeight="false" outlineLevel="0" collapsed="false">
      <c r="B108" s="0" t="s">
        <v>165</v>
      </c>
      <c r="E108" s="14" t="n">
        <v>14008.94</v>
      </c>
    </row>
    <row r="109" customFormat="false" ht="15" hidden="false" customHeight="false" outlineLevel="0" collapsed="false">
      <c r="B109" s="0" t="s">
        <v>166</v>
      </c>
      <c r="E109" s="14" t="n">
        <v>16091.5</v>
      </c>
    </row>
    <row r="110" customFormat="false" ht="15" hidden="false" customHeight="false" outlineLevel="0" collapsed="false">
      <c r="B110" s="0" t="s">
        <v>167</v>
      </c>
      <c r="E110" s="14" t="n">
        <v>11637.45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72903.09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586750.82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22388680</v>
      </c>
      <c r="G137" s="15" t="s">
        <v>62</v>
      </c>
      <c r="J137" s="8" t="n">
        <v>581893.49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-4857.32999999996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46235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0.0157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0.0202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0.9706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0.9584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21457310.912</v>
      </c>
      <c r="E145" s="18" t="n">
        <f aca="false">D145/$D$137</f>
        <v>0.9584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237201.62</v>
      </c>
      <c r="E149" s="18" t="n">
        <f aca="false">D149/$D$137</f>
        <v>0.0105947121491754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0.00818717316072229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574500</v>
      </c>
      <c r="E151" s="18" t="n">
        <f aca="false">D151/$D$137</f>
        <v>0.025660289038925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72903.09</v>
      </c>
      <c r="E152" s="18" t="n">
        <f aca="false">D152/$D$137</f>
        <v>0.00325624780022762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21872066.01</v>
      </c>
      <c r="E153" s="18" t="n">
        <f aca="false">D153/$D$137</f>
        <v>0.976925214438725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507343.432</v>
      </c>
      <c r="E155" s="19" t="n">
        <f aca="false">D155/D137</f>
        <v>0.0226607121098698</v>
      </c>
    </row>
    <row r="156" customFormat="false" ht="15" hidden="false" customHeight="false" outlineLevel="0" collapsed="false">
      <c r="C156" s="0" t="s">
        <v>85</v>
      </c>
      <c r="D156" s="10" t="n">
        <f aca="false">JUL26!D155</f>
        <v>506002.5</v>
      </c>
      <c r="E156" s="17" t="n">
        <f aca="false">JUL26!E155</f>
        <v>0.0226919161569232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22478560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0.0126</v>
      </c>
    </row>
    <row r="33" customFormat="false" ht="15" hidden="false" customHeight="false" outlineLevel="0" collapsed="false">
      <c r="B33" s="0" t="s">
        <v>18</v>
      </c>
      <c r="F33" s="9" t="n">
        <v>0.0159</v>
      </c>
    </row>
    <row r="35" customFormat="false" ht="15" hidden="false" customHeight="false" outlineLevel="0" collapsed="false">
      <c r="B35" s="0" t="s">
        <v>19</v>
      </c>
      <c r="F35" s="9" t="n">
        <v>0.9832</v>
      </c>
    </row>
    <row r="37" customFormat="false" ht="15" hidden="false" customHeight="false" outlineLevel="0" collapsed="false">
      <c r="B37" s="0" t="s">
        <v>20</v>
      </c>
      <c r="F37" s="9" t="n">
        <v>0.9743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21900861.008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52715.27</v>
      </c>
    </row>
    <row r="49" customFormat="false" ht="15" hidden="false" customHeight="false" outlineLevel="0" collapsed="false">
      <c r="B49" s="0" t="s">
        <v>26</v>
      </c>
      <c r="F49" s="10" t="n">
        <f aca="false">E102</f>
        <v>183300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592000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83526.48</v>
      </c>
    </row>
    <row r="55" customFormat="false" ht="15" hidden="false" customHeight="false" outlineLevel="0" collapsed="false">
      <c r="B55" s="0" t="s">
        <v>29</v>
      </c>
      <c r="F55" s="8" t="n">
        <v>22138391.76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22138391.76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168</v>
      </c>
      <c r="J78" s="14" t="n">
        <v>32865.15</v>
      </c>
    </row>
    <row r="79" customFormat="false" ht="15" hidden="false" customHeight="false" outlineLevel="0" collapsed="false">
      <c r="G79" s="0" t="s">
        <v>169</v>
      </c>
      <c r="J79" s="14" t="n">
        <v>19850.12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52715.27</v>
      </c>
    </row>
    <row r="91" customFormat="false" ht="15" hidden="false" customHeight="false" outlineLevel="0" collapsed="false">
      <c r="B91" s="11" t="s">
        <v>42</v>
      </c>
      <c r="G91" s="11" t="s">
        <v>43</v>
      </c>
    </row>
    <row r="92" customFormat="false" ht="15" hidden="false" customHeight="false" outlineLevel="0" collapsed="false">
      <c r="B92" s="0" t="s">
        <v>44</v>
      </c>
      <c r="E92" s="14" t="n">
        <v>9800</v>
      </c>
      <c r="G92" s="15" t="s">
        <v>45</v>
      </c>
      <c r="J92" s="14" t="n">
        <v>75583</v>
      </c>
    </row>
    <row r="93" customFormat="false" ht="15" hidden="false" customHeight="false" outlineLevel="0" collapsed="false">
      <c r="B93" s="0" t="s">
        <v>46</v>
      </c>
      <c r="E93" s="14" t="n">
        <v>38500</v>
      </c>
      <c r="G93" s="15" t="s">
        <v>47</v>
      </c>
      <c r="J93" s="14" t="n">
        <v>68382.04</v>
      </c>
    </row>
    <row r="94" customFormat="false" ht="15" hidden="false" customHeight="false" outlineLevel="0" collapsed="false">
      <c r="B94" s="0" t="s">
        <v>48</v>
      </c>
      <c r="E94" s="14" t="n">
        <v>64000</v>
      </c>
      <c r="G94" s="15" t="s">
        <v>111</v>
      </c>
      <c r="J94" s="14" t="n">
        <v>76892.69</v>
      </c>
    </row>
    <row r="95" customFormat="false" ht="15" hidden="false" customHeight="false" outlineLevel="0" collapsed="false">
      <c r="B95" s="0" t="s">
        <v>49</v>
      </c>
      <c r="E95" s="14" t="n">
        <v>71000</v>
      </c>
      <c r="G95" s="15" t="s">
        <v>120</v>
      </c>
      <c r="J95" s="14" t="n">
        <v>62109.69</v>
      </c>
    </row>
    <row r="96" customFormat="false" ht="15" hidden="false" customHeight="false" outlineLevel="0" collapsed="false">
      <c r="G96" s="0" t="s">
        <v>135</v>
      </c>
      <c r="J96" s="14" t="n">
        <v>51926.63</v>
      </c>
    </row>
    <row r="97" customFormat="false" ht="15" hidden="false" customHeight="false" outlineLevel="0" collapsed="false">
      <c r="G97" s="0" t="s">
        <v>146</v>
      </c>
      <c r="J97" s="14" t="n">
        <v>68393.62</v>
      </c>
    </row>
    <row r="98" customFormat="false" ht="15" hidden="false" customHeight="false" outlineLevel="0" collapsed="false">
      <c r="G98" s="0" t="s">
        <v>157</v>
      </c>
      <c r="J98" s="14" t="n">
        <v>87781.44</v>
      </c>
    </row>
    <row r="99" customFormat="false" ht="15" hidden="false" customHeight="false" outlineLevel="0" collapsed="false">
      <c r="G99" s="0" t="s">
        <v>170</v>
      </c>
      <c r="J99" s="14" t="n">
        <v>100930.89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183300</v>
      </c>
      <c r="G102" s="12" t="s">
        <v>34</v>
      </c>
      <c r="J102" s="13" t="n">
        <f aca="false">SUM(J92:J101)</f>
        <v>592000</v>
      </c>
    </row>
    <row r="105" customFormat="false" ht="15" hidden="false" customHeight="false" outlineLevel="0" collapsed="false">
      <c r="B105" s="11" t="s">
        <v>50</v>
      </c>
      <c r="G105" s="11" t="s">
        <v>51</v>
      </c>
    </row>
    <row r="106" customFormat="false" ht="15" hidden="false" customHeight="false" outlineLevel="0" collapsed="false">
      <c r="B106" s="0" t="s">
        <v>171</v>
      </c>
      <c r="E106" s="14" t="n">
        <v>29896.75</v>
      </c>
    </row>
    <row r="107" customFormat="false" ht="15" hidden="false" customHeight="false" outlineLevel="0" collapsed="false">
      <c r="B107" s="0" t="s">
        <v>172</v>
      </c>
      <c r="E107" s="14" t="n">
        <v>23944.43</v>
      </c>
    </row>
    <row r="108" customFormat="false" ht="15" hidden="false" customHeight="false" outlineLevel="0" collapsed="false">
      <c r="B108" s="0" t="s">
        <v>173</v>
      </c>
      <c r="E108" s="14" t="n">
        <v>29685.3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83526.48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56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57</v>
      </c>
    </row>
    <row r="135" customFormat="false" ht="15" hidden="false" customHeight="false" outlineLevel="0" collapsed="false">
      <c r="G135" s="12" t="s">
        <v>58</v>
      </c>
    </row>
    <row r="136" customFormat="false" ht="15" hidden="false" customHeight="false" outlineLevel="0" collapsed="false">
      <c r="C136" s="0" t="s">
        <v>59</v>
      </c>
      <c r="D136" s="4" t="str">
        <f aca="false">D24</f>
        <v>CAJUEIRO</v>
      </c>
      <c r="G136" s="15" t="s">
        <v>60</v>
      </c>
      <c r="J136" s="8" t="n">
        <v>280910.91</v>
      </c>
    </row>
    <row r="137" customFormat="false" ht="15" hidden="false" customHeight="false" outlineLevel="0" collapsed="false">
      <c r="C137" s="0" t="s">
        <v>61</v>
      </c>
      <c r="D137" s="10" t="n">
        <f aca="false">J28</f>
        <v>22478560</v>
      </c>
      <c r="G137" s="15" t="s">
        <v>62</v>
      </c>
      <c r="J137" s="8" t="n">
        <v>266325.75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final</v>
      </c>
      <c r="G138" s="15" t="s">
        <v>63</v>
      </c>
      <c r="J138" s="10" t="n">
        <f aca="false">J137-J136</f>
        <v>-14585.16</v>
      </c>
    </row>
    <row r="139" customFormat="false" ht="15" hidden="false" customHeight="false" outlineLevel="0" collapsed="false">
      <c r="C139" s="0" t="s">
        <v>64</v>
      </c>
      <c r="D139" s="16" t="n">
        <f aca="false">E26</f>
        <v>46266</v>
      </c>
      <c r="G139" s="15" t="s">
        <v>65</v>
      </c>
    </row>
    <row r="140" customFormat="false" ht="15" hidden="false" customHeight="false" outlineLevel="0" collapsed="false">
      <c r="C140" s="0" t="s">
        <v>66</v>
      </c>
      <c r="D140" s="17" t="n">
        <f aca="false">F31</f>
        <v>0.0126</v>
      </c>
    </row>
    <row r="141" customFormat="false" ht="15" hidden="false" customHeight="false" outlineLevel="0" collapsed="false">
      <c r="C141" s="0" t="s">
        <v>67</v>
      </c>
      <c r="D141" s="17" t="n">
        <f aca="false">F33</f>
        <v>0.0159</v>
      </c>
    </row>
    <row r="142" customFormat="false" ht="15" hidden="false" customHeight="false" outlineLevel="0" collapsed="false">
      <c r="C142" s="0" t="s">
        <v>68</v>
      </c>
      <c r="D142" s="17" t="n">
        <f aca="false">F35</f>
        <v>0.9832</v>
      </c>
    </row>
    <row r="143" customFormat="false" ht="15" hidden="false" customHeight="false" outlineLevel="0" collapsed="false">
      <c r="C143" s="0" t="s">
        <v>69</v>
      </c>
      <c r="D143" s="17" t="n">
        <f aca="false">F37</f>
        <v>0.9743</v>
      </c>
    </row>
    <row r="145" customFormat="false" ht="15" hidden="false" customHeight="false" outlineLevel="0" collapsed="false">
      <c r="B145" s="0" t="s">
        <v>70</v>
      </c>
      <c r="C145" s="0" t="s">
        <v>71</v>
      </c>
      <c r="D145" s="10" t="n">
        <f aca="false">F39</f>
        <v>21900861.008</v>
      </c>
      <c r="E145" s="18" t="n">
        <f aca="false">D145/$D$137</f>
        <v>0.9743</v>
      </c>
    </row>
    <row r="146" customFormat="false" ht="15" hidden="false" customHeight="false" outlineLevel="0" collapsed="false">
      <c r="B146" s="0" t="s">
        <v>72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73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74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75</v>
      </c>
      <c r="C149" s="0" t="s">
        <v>36</v>
      </c>
      <c r="D149" s="10" t="n">
        <f aca="false">F47</f>
        <v>52715.27</v>
      </c>
      <c r="E149" s="18" t="n">
        <f aca="false">D149/$D$137</f>
        <v>0.00234513554249027</v>
      </c>
    </row>
    <row r="150" customFormat="false" ht="15" hidden="false" customHeight="false" outlineLevel="0" collapsed="false">
      <c r="B150" s="0" t="s">
        <v>76</v>
      </c>
      <c r="C150" s="0" t="s">
        <v>77</v>
      </c>
      <c r="D150" s="10" t="n">
        <f aca="false">F49</f>
        <v>183300</v>
      </c>
      <c r="E150" s="18" t="n">
        <f aca="false">D150/$D$137</f>
        <v>0.008154436939021</v>
      </c>
    </row>
    <row r="151" customFormat="false" ht="15" hidden="false" customHeight="false" outlineLevel="0" collapsed="false">
      <c r="B151" s="0" t="s">
        <v>78</v>
      </c>
      <c r="C151" s="0" t="s">
        <v>79</v>
      </c>
      <c r="D151" s="10" t="n">
        <f aca="false">F51</f>
        <v>592000</v>
      </c>
      <c r="E151" s="18" t="n">
        <f aca="false">D151/$D$137</f>
        <v>0.026336206589746</v>
      </c>
    </row>
    <row r="152" customFormat="false" ht="15" hidden="false" customHeight="false" outlineLevel="0" collapsed="false">
      <c r="B152" s="0" t="s">
        <v>80</v>
      </c>
      <c r="C152" s="0" t="s">
        <v>50</v>
      </c>
      <c r="D152" s="10" t="n">
        <f aca="false">F53</f>
        <v>83526.48</v>
      </c>
      <c r="E152" s="18" t="n">
        <f aca="false">D152/$D$137</f>
        <v>0.0037158287719498</v>
      </c>
    </row>
    <row r="153" customFormat="false" ht="15" hidden="false" customHeight="false" outlineLevel="0" collapsed="false">
      <c r="B153" s="0" t="s">
        <v>81</v>
      </c>
      <c r="C153" s="0" t="s">
        <v>82</v>
      </c>
      <c r="D153" s="10" t="n">
        <f aca="false">F56</f>
        <v>22138391.76</v>
      </c>
      <c r="E153" s="18" t="n">
        <f aca="false">D153/$D$137</f>
        <v>0.984866991479881</v>
      </c>
    </row>
    <row r="154" customFormat="false" ht="15" hidden="false" customHeight="false" outlineLevel="0" collapsed="false">
      <c r="B154" s="0" t="s">
        <v>83</v>
      </c>
      <c r="C154" s="0" t="s">
        <v>56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84</v>
      </c>
      <c r="D155" s="13" t="n">
        <f aca="false">D145+D146+D147+D148+D149+D150+D151-D152-D153-D154</f>
        <v>506958.037999999</v>
      </c>
      <c r="E155" s="19" t="n">
        <f aca="false">D155/D137</f>
        <v>0.0225529588194261</v>
      </c>
    </row>
    <row r="156" customFormat="false" ht="15" hidden="false" customHeight="false" outlineLevel="0" collapsed="false">
      <c r="C156" s="0" t="s">
        <v>85</v>
      </c>
      <c r="D156" s="10" t="n">
        <f aca="false">AGO26!D155</f>
        <v>507343.432</v>
      </c>
      <c r="E156" s="17" t="n">
        <f aca="false">AGO26!E155</f>
        <v>0.0226607121098698</v>
      </c>
    </row>
    <row r="160" customFormat="false" ht="15" hidden="false" customHeight="false" outlineLevel="0" collapsed="false">
      <c r="B160" s="12" t="s">
        <v>86</v>
      </c>
    </row>
    <row r="162" customFormat="false" ht="15" hidden="false" customHeight="false" outlineLevel="0" collapsed="false">
      <c r="B162" s="12" t="s">
        <v>87</v>
      </c>
    </row>
    <row r="163" customFormat="false" ht="15" hidden="false" customHeight="false" outlineLevel="0" collapsed="false">
      <c r="B163" s="0" t="s">
        <v>88</v>
      </c>
    </row>
    <row r="164" customFormat="false" ht="15" hidden="false" customHeight="false" outlineLevel="0" collapsed="false">
      <c r="B164" s="12" t="s">
        <v>89</v>
      </c>
    </row>
    <row r="165" customFormat="false" ht="15" hidden="false" customHeight="false" outlineLevel="0" collapsed="false">
      <c r="B165" s="0" t="s">
        <v>90</v>
      </c>
    </row>
    <row r="166" customFormat="false" ht="15" hidden="false" customHeight="false" outlineLevel="0" collapsed="false">
      <c r="B166" s="12" t="s">
        <v>91</v>
      </c>
    </row>
    <row r="167" customFormat="false" ht="15" hidden="false" customHeight="false" outlineLevel="0" collapsed="false">
      <c r="B167" s="0" t="s">
        <v>92</v>
      </c>
    </row>
    <row r="168" customFormat="false" ht="15" hidden="false" customHeight="false" outlineLevel="0" collapsed="false">
      <c r="B168" s="12" t="s">
        <v>93</v>
      </c>
    </row>
    <row r="169" customFormat="false" ht="15" hidden="false" customHeight="false" outlineLevel="0" collapsed="false">
      <c r="B169" s="0" t="s">
        <v>94</v>
      </c>
    </row>
    <row r="170" customFormat="false" ht="15" hidden="false" customHeight="false" outlineLevel="0" collapsed="false">
      <c r="B170" s="12" t="s">
        <v>95</v>
      </c>
    </row>
    <row r="171" customFormat="false" ht="15" hidden="false" customHeight="false" outlineLevel="0" collapsed="false">
      <c r="B171" s="0" t="s">
        <v>96</v>
      </c>
    </row>
    <row r="172" customFormat="false" ht="15" hidden="false" customHeight="false" outlineLevel="0" collapsed="false">
      <c r="B172" s="12" t="s">
        <v>97</v>
      </c>
    </row>
    <row r="173" customFormat="false" ht="15" hidden="false" customHeight="false" outlineLevel="0" collapsed="false">
      <c r="B173" s="0" t="s">
        <v>98</v>
      </c>
    </row>
    <row r="174" customFormat="false" ht="15" hidden="false" customHeight="false" outlineLevel="0" collapsed="false">
      <c r="B174" s="12" t="s">
        <v>99</v>
      </c>
    </row>
    <row r="175" customFormat="false" ht="15" hidden="false" customHeight="false" outlineLevel="0" collapsed="false">
      <c r="B175" s="0" t="s">
        <v>100</v>
      </c>
    </row>
    <row r="176" customFormat="false" ht="15" hidden="false" customHeight="false" outlineLevel="0" collapsed="false">
      <c r="B176" s="12" t="s">
        <v>101</v>
      </c>
    </row>
    <row r="177" customFormat="false" ht="15" hidden="false" customHeight="false" outlineLevel="0" collapsed="false">
      <c r="B177" s="0" t="s">
        <v>102</v>
      </c>
    </row>
    <row r="178" customFormat="false" ht="15" hidden="false" customHeight="false" outlineLevel="0" collapsed="false">
      <c r="B178" s="12" t="s">
        <v>103</v>
      </c>
    </row>
    <row r="179" customFormat="false" ht="15" hidden="false" customHeight="false" outlineLevel="0" collapsed="false">
      <c r="B179" s="0" t="s">
        <v>104</v>
      </c>
    </row>
    <row r="180" customFormat="false" ht="15" hidden="false" customHeight="false" outlineLevel="0" collapsed="false">
      <c r="B180" s="12" t="s">
        <v>105</v>
      </c>
    </row>
    <row r="181" customFormat="false" ht="15" hidden="false" customHeight="false" outlineLevel="0" collapsed="false">
      <c r="B18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2026-10-28T18:38:09Z</dcterms:created>
  <dc:creator>openpyxl</dc:creator>
  <dc:description/>
  <dc:language>en-US</dc:language>
  <cp:lastModifiedBy/>
  <dcterms:modified xsi:type="dcterms:W3CDTF">2026-10-28T18:38:09Z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