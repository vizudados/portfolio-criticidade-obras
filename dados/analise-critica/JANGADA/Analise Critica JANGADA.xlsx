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EIA-ME" sheetId="1" state="visible" r:id="rId3"/>
    <sheet name="SET25" sheetId="2" state="visible" r:id="rId4"/>
    <sheet name="OUT25" sheetId="3" state="visible" r:id="rId5"/>
    <sheet name="NOV25" sheetId="4" state="visible" r:id="rId6"/>
    <sheet name="DEZ25" sheetId="5" state="visible" r:id="rId7"/>
    <sheet name="JAN26" sheetId="6" state="visible" r:id="rId8"/>
    <sheet name="FEV26" sheetId="7" state="visible" r:id="rId9"/>
    <sheet name="MAR26" sheetId="8" state="visible" r:id="rId10"/>
    <sheet name="ABR26" sheetId="9" state="visible" r:id="rId11"/>
    <sheet name="MAI26" sheetId="10" state="visible" r:id="rId12"/>
    <sheet name="JUN26" sheetId="11" state="visible" r:id="rId13"/>
    <sheet name="JUL26" sheetId="12" state="visible" r:id="rId14"/>
    <sheet name="AGO26" sheetId="13" state="visible" r:id="rId15"/>
    <sheet name="SET26" sheetId="14" state="visible" r:id="rId16"/>
  </sheets>
  <definedNames>
    <definedName function="false" hidden="false" localSheetId="8" name="_xlnm.Print_Area" vbProcedure="false">ABR26!$A$132:$J$157</definedName>
    <definedName function="false" hidden="false" localSheetId="12" name="_xlnm.Print_Area" vbProcedure="false">AGO26!$A$132:$J$157</definedName>
    <definedName function="false" hidden="false" localSheetId="4" name="_xlnm.Print_Area" vbProcedure="false">DEZ25!$A$132:$J$157</definedName>
    <definedName function="false" hidden="false" localSheetId="6" name="_xlnm.Print_Area" vbProcedure="false">FEV26!$A$132:$J$157</definedName>
    <definedName function="false" hidden="false" localSheetId="5" name="_xlnm.Print_Area" vbProcedure="false">JAN26!$A$132:$J$157</definedName>
    <definedName function="false" hidden="false" localSheetId="11" name="_xlnm.Print_Area" vbProcedure="false">JUL26!$A$132:$J$157</definedName>
    <definedName function="false" hidden="false" localSheetId="10" name="_xlnm.Print_Area" vbProcedure="false">JUN26!$A$132:$J$157</definedName>
    <definedName function="false" hidden="false" localSheetId="9" name="_xlnm.Print_Area" vbProcedure="false">MAI26!$A$132:$J$157</definedName>
    <definedName function="false" hidden="false" localSheetId="7" name="_xlnm.Print_Area" vbProcedure="false">MAR26!$A$132:$J$157</definedName>
    <definedName function="false" hidden="false" localSheetId="3" name="_xlnm.Print_Area" vbProcedure="false">NOV25!$A$132:$J$157</definedName>
    <definedName function="false" hidden="false" localSheetId="2" name="_xlnm.Print_Area" vbProcedure="false">OUT25!$A$132:$J$157</definedName>
    <definedName function="false" hidden="false" localSheetId="1" name="_xlnm.Print_Area" vbProcedure="false">SET25!$A$132:$J$157</definedName>
    <definedName function="false" hidden="false" localSheetId="13" name="_xlnm.Print_Area" vbProcedure="false">SET26!$A$132:$J$157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<sst xmlns="http://schemas.openxmlformats.org/spreadsheetml/2006/main" count="1476" uniqueCount="152">
  <si>
    <t xml:space="preserve">Análise Crítica · JANGADA</t>
  </si>
  <si>
    <t xml:space="preserve">Dados fictícios: construtora inventada de Natal/RN, portfólio Vizu Dados.</t>
  </si>
  <si>
    <t xml:space="preserve">Uma aba por mês (MMMAA). Os campos são lidos pelo rótulo da coluna B.</t>
  </si>
  <si>
    <t xml:space="preserve">Versão 01 da planilha: a dívida da obra (item 10) desconta do resultado.</t>
  </si>
  <si>
    <t xml:space="preserve">ANÁLISE DE DESEMPENHO ECONÔMICO DA OBRA</t>
  </si>
  <si>
    <t xml:space="preserve">Construtora fictícia de Natal/RN · portfólio Vizu Dados · dados inventados</t>
  </si>
  <si>
    <t xml:space="preserve">Versão 01 · revisão de 01/09/2025: a dívida da obra passa a descontar do resultado</t>
  </si>
  <si>
    <t xml:space="preserve">Célula editável</t>
  </si>
  <si>
    <t xml:space="preserve">Resultado (não editar)</t>
  </si>
  <si>
    <t xml:space="preserve">Tabela anexada</t>
  </si>
  <si>
    <t xml:space="preserve">% relacionada</t>
  </si>
  <si>
    <t xml:space="preserve">1º passo: Projeto (definir o empreendimento)</t>
  </si>
  <si>
    <t xml:space="preserve">JANGADA</t>
  </si>
  <si>
    <t xml:space="preserve">2º passo: Mês de análise (definir o mês de referência)</t>
  </si>
  <si>
    <t xml:space="preserve">3º passo: Orçamento da obra projetado (com INCC no a realizar)</t>
  </si>
  <si>
    <t xml:space="preserve">Tipo do orçamento</t>
  </si>
  <si>
    <t xml:space="preserve">Orçamento preliminar</t>
  </si>
  <si>
    <t xml:space="preserve">4º passo: Previsto do mês (incluir o % do cronograma)</t>
  </si>
  <si>
    <t xml:space="preserve">5º passo: Executado do mês (incluir o % medido)</t>
  </si>
  <si>
    <t xml:space="preserve">6º passo: Previsto acumulado do mês</t>
  </si>
  <si>
    <t xml:space="preserve">7º passo: Executado acumulado do mês</t>
  </si>
  <si>
    <t xml:space="preserve">8º passo: Crédito do orçamento (executado acumulado × orçamento)</t>
  </si>
  <si>
    <t xml:space="preserve">8º passo (cont.): Saldo de contrato (tabela)</t>
  </si>
  <si>
    <t xml:space="preserve">9º passo: Adiantamento de serviços não medidos (tabela)</t>
  </si>
  <si>
    <t xml:space="preserve">10º passo: Adiantamento de materiais não estocados (tabela)</t>
  </si>
  <si>
    <t xml:space="preserve">11º passo: Estoque de materiais (almoxarifado)</t>
  </si>
  <si>
    <t xml:space="preserve">12º passo: Equipamentos comprados (valor de mercado)</t>
  </si>
  <si>
    <t xml:space="preserve">13º passo: Receitas de personalizações (tabela)</t>
  </si>
  <si>
    <t xml:space="preserve">14º passo: Contas a pagar dos medidos (relatório a pagar)</t>
  </si>
  <si>
    <t xml:space="preserve">15º passo: Valor desembolsado pela obra (relatório conferido)</t>
  </si>
  <si>
    <t xml:space="preserve">Valor corrigido (sem os itens apontados irregularmente)</t>
  </si>
  <si>
    <t xml:space="preserve">16º passo: Dívida da obra a ser paga (outra obra da carteira)</t>
  </si>
  <si>
    <t xml:space="preserve">Saldo de contrato</t>
  </si>
  <si>
    <t xml:space="preserve">Adiantamento de materiais não estocados</t>
  </si>
  <si>
    <t xml:space="preserve">Total</t>
  </si>
  <si>
    <t xml:space="preserve">Adiantamento de serviços não medidos</t>
  </si>
  <si>
    <t xml:space="preserve">Estoque de materiais</t>
  </si>
  <si>
    <t xml:space="preserve">Material de canteiro (tapumes e contêineres)</t>
  </si>
  <si>
    <t xml:space="preserve">Cimento e agregados</t>
  </si>
  <si>
    <t xml:space="preserve">Aço CA-50 para fundação</t>
  </si>
  <si>
    <t xml:space="preserve">Equipamentos comprados</t>
  </si>
  <si>
    <t xml:space="preserve">Receitas de personalizações</t>
  </si>
  <si>
    <t xml:space="preserve">Betoneira 400 L</t>
  </si>
  <si>
    <t xml:space="preserve">Guincho de coluna</t>
  </si>
  <si>
    <t xml:space="preserve">Bomba de concreto (valor residual)</t>
  </si>
  <si>
    <t xml:space="preserve">Contas a pagar dos medidos</t>
  </si>
  <si>
    <t xml:space="preserve">Itens apontados irregularmente no relatório</t>
  </si>
  <si>
    <t xml:space="preserve">Medição de terraplenagem · NF 42087</t>
  </si>
  <si>
    <t xml:space="preserve">Locação de equipamentos · NF 32177</t>
  </si>
  <si>
    <t xml:space="preserve">Encargos e INSS do mês · NF 3302</t>
  </si>
  <si>
    <t xml:space="preserve">Dívida da obra a ser paga</t>
  </si>
  <si>
    <t xml:space="preserve">RESULTADO PARA UTILIZAR NA APRESENTAÇÃO</t>
  </si>
  <si>
    <t xml:space="preserve">Tabela informativa do desembolso do mês</t>
  </si>
  <si>
    <t xml:space="preserve">Projeto</t>
  </si>
  <si>
    <t xml:space="preserve">Valor previsto para o mês</t>
  </si>
  <si>
    <t xml:space="preserve">Orçamento</t>
  </si>
  <si>
    <t xml:space="preserve">Valor desembolsado no mês</t>
  </si>
  <si>
    <t xml:space="preserve">Diferença entre o previsto e o desembolsado</t>
  </si>
  <si>
    <t xml:space="preserve">Mês</t>
  </si>
  <si>
    <t xml:space="preserve">Justificativa para diferença acima de 10% (obrigatória)</t>
  </si>
  <si>
    <t xml:space="preserve">% previsto do mês</t>
  </si>
  <si>
    <t xml:space="preserve">% executado do mês</t>
  </si>
  <si>
    <t xml:space="preserve">% previsto acumulado</t>
  </si>
  <si>
    <t xml:space="preserve">% executado acumulado</t>
  </si>
  <si>
    <t xml:space="preserve">01</t>
  </si>
  <si>
    <t xml:space="preserve">Crédito do orçamento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</si>
  <si>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</si>
  <si>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</si>
  <si>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</si>
  <si>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</si>
  <si>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</si>
  <si>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Equipamentos (valor de mercado)</t>
  </si>
  <si>
    <t xml:space="preserve">07</t>
  </si>
  <si>
    <t xml:space="preserve">Receita de personalizações</t>
  </si>
  <si>
    <t xml:space="preserve">08</t>
  </si>
  <si>
    <t xml:space="preserve">09</t>
  </si>
  <si>
    <t xml:space="preserve">Valor desembolsado (corrigido)</t>
  </si>
  <si>
    <t xml:space="preserve">10</t>
  </si>
  <si>
    <t xml:space="preserve">Resultado mensal da obra</t>
  </si>
  <si>
    <t xml:space="preserve">Resultado do mês anterior</t>
  </si>
  <si>
    <t xml:space="preserve">Significado de cada item</t>
  </si>
  <si>
    <t xml:space="preserve">Crédito do orçamento:</t>
  </si>
  <si>
    <t xml:space="preserve">Quanto a obra podia ter gasto pelo que executou: orçamento × executado acumulado.</t>
  </si>
  <si>
    <t xml:space="preserve">Saldo de contrato:</t>
  </si>
  <si>
    <t xml:space="preserve">Desconto obtido num contrato e ainda não realizado; abatido à medida que o serviço é medido.</t>
  </si>
  <si>
    <t xml:space="preserve">Adiantamento de serviços não medidos:</t>
  </si>
  <si>
    <t xml:space="preserve">Sinal pago de contrato ainda não medido (ex.: elevadores).</t>
  </si>
  <si>
    <t xml:space="preserve">Adiantamento de materiais não estocados:</t>
  </si>
  <si>
    <t xml:space="preserve">Material pago que ainda não chegou à obra (ex.: esquadrias).</t>
  </si>
  <si>
    <t xml:space="preserve">Estoque de materiais:</t>
  </si>
  <si>
    <t xml:space="preserve">Material no almoxarifado, ainda não aplicado, informado pelo almoxarife.</t>
  </si>
  <si>
    <t xml:space="preserve">Equipamentos (valor de mercado):</t>
  </si>
  <si>
    <t xml:space="preserve">Equipamento comprado pela obra e reaproveitável no fim, pelo valor de mercado.</t>
  </si>
  <si>
    <t xml:space="preserve">Receita de personalizações:</t>
  </si>
  <si>
    <t xml:space="preserve">Personalizações pagas pelos clientes, acumuladas até o fim da obra.</t>
  </si>
  <si>
    <t xml:space="preserve">Contas a pagar dos medidos:</t>
  </si>
  <si>
    <t xml:space="preserve">Serviço já medido e ainda a pagar (relatório de contas a pagar).</t>
  </si>
  <si>
    <t xml:space="preserve">Valor desembolsado pela obra:</t>
  </si>
  <si>
    <t xml:space="preserve">Desembolso acumulado desde o início, conferido e sem os itens apontados na obra errada.</t>
  </si>
  <si>
    <t xml:space="preserve">Dívida da obra a ser paga:</t>
  </si>
  <si>
    <t xml:space="preserve">Material de outra obra da carteira usado nesta: custo da obra, desconta do resultado (versão 01 da planilha).</t>
  </si>
  <si>
    <t xml:space="preserve">Medição de terraplenagem · NF 72552</t>
  </si>
  <si>
    <t xml:space="preserve">Locação de equipamentos · NF 32867</t>
  </si>
  <si>
    <t xml:space="preserve">Encargos e INSS do mês · NF 83095</t>
  </si>
  <si>
    <t xml:space="preserve">Aço CA-50 para blocos e baldrame</t>
  </si>
  <si>
    <t xml:space="preserve">Madeira para formas</t>
  </si>
  <si>
    <t xml:space="preserve">Medição de fundação (estacas hélice) · NF 29993</t>
  </si>
  <si>
    <t xml:space="preserve">Concreto usinado dos blocos · NF 90946</t>
  </si>
  <si>
    <t xml:space="preserve">Encargos e INSS do mês · NF 84334</t>
  </si>
  <si>
    <t xml:space="preserve">Medição de fundação (estacas hélice) · NF 82584</t>
  </si>
  <si>
    <t xml:space="preserve">Concreto usinado dos blocos · NF 8708</t>
  </si>
  <si>
    <t xml:space="preserve">Encargos e INSS do mês · NF 40520</t>
  </si>
  <si>
    <t xml:space="preserve">Medição de fundação (estacas hélice) · NF 5057</t>
  </si>
  <si>
    <t xml:space="preserve">Concreto usinado dos blocos · NF 54257</t>
  </si>
  <si>
    <t xml:space="preserve">Encargos e INSS do mês · NF 59711</t>
  </si>
  <si>
    <t xml:space="preserve">Medição de fundação (estacas hélice) · NF 4658</t>
  </si>
  <si>
    <t xml:space="preserve">Concreto usinado dos blocos · NF 49760</t>
  </si>
  <si>
    <t xml:space="preserve">Encargos e INSS do mês · NF 80252</t>
  </si>
  <si>
    <t xml:space="preserve">Medição de fundação (estacas hélice) · NF 30385</t>
  </si>
  <si>
    <t xml:space="preserve">Concreto usinado dos blocos · NF 78569</t>
  </si>
  <si>
    <t xml:space="preserve">Encargos e INSS do mês · NF 7584</t>
  </si>
  <si>
    <t xml:space="preserve">Orçamento executivo</t>
  </si>
  <si>
    <t xml:space="preserve">Aço CA-50/60 para lajes</t>
  </si>
  <si>
    <t xml:space="preserve">Formas e escoramento</t>
  </si>
  <si>
    <t xml:space="preserve">Blocos cerâmicos</t>
  </si>
  <si>
    <t xml:space="preserve">Material hidrossanitário</t>
  </si>
  <si>
    <t xml:space="preserve">Medição da empreiteira de estrutura · NF 46384</t>
  </si>
  <si>
    <t xml:space="preserve">Concreto usinado da laje · NF 32809</t>
  </si>
  <si>
    <t xml:space="preserve">Aluguel de escoramento · NF 53204</t>
  </si>
  <si>
    <t xml:space="preserve">Encargos e INSS do mês · NF 75793</t>
  </si>
  <si>
    <t xml:space="preserve">Medição da empreiteira de estrutura · NF 31594</t>
  </si>
  <si>
    <t xml:space="preserve">Concreto usinado da laje · NF 10067</t>
  </si>
  <si>
    <t xml:space="preserve">Aluguel de escoramento · NF 36295</t>
  </si>
  <si>
    <t xml:space="preserve">Encargos e INSS do mês · NF 75082</t>
  </si>
  <si>
    <t xml:space="preserve">Medição da empreiteira de estrutura · NF 38082</t>
  </si>
  <si>
    <t xml:space="preserve">NF 88213 · lançada na JANGADA, é da TIROL</t>
  </si>
  <si>
    <t xml:space="preserve">Concreto usinado da laje · NF 33889</t>
  </si>
  <si>
    <t xml:space="preserve">Aluguel de escoramento · NF 28798</t>
  </si>
  <si>
    <t xml:space="preserve">Encargos e INSS do mês · NF 7050</t>
  </si>
  <si>
    <t xml:space="preserve">Elevadores · sinal de contrato</t>
  </si>
  <si>
    <t xml:space="preserve">Medição da empreiteira de estrutura · NF 88938</t>
  </si>
  <si>
    <t xml:space="preserve">Concreto usinado da laje · NF 22168</t>
  </si>
  <si>
    <t xml:space="preserve">Aluguel de escoramento · NF 39275</t>
  </si>
  <si>
    <t xml:space="preserve">Encargos e INSS do mês · NF 81538</t>
  </si>
  <si>
    <t xml:space="preserve">Medição da empreiteira de estrutura · NF 64620</t>
  </si>
  <si>
    <t xml:space="preserve">Concreto usinado da laje · NF 71207</t>
  </si>
  <si>
    <t xml:space="preserve">Aluguel de escoramento · NF 54220</t>
  </si>
  <si>
    <t xml:space="preserve">Encargos e INSS do mês · NF 63127</t>
  </si>
  <si>
    <t xml:space="preserve">Medição da empreiteira de estrutura · NF 79669</t>
  </si>
  <si>
    <t xml:space="preserve">Concreto usinado da laje · NF 50450</t>
  </si>
  <si>
    <t xml:space="preserve">Aluguel de escoramento · NF 84926</t>
  </si>
  <si>
    <t xml:space="preserve">Encargos e INSS do mês · NF 74696</t>
  </si>
</sst>
</file>

<file path=xl/styles.xml><?xml version="1.0" encoding="utf-8"?>
<styleSheet xmlns="http://schemas.openxmlformats.org/spreadsheetml/2006/main">
  <numFmts count="3">
    <numFmt numFmtId="164" formatCode="General"/>
    <numFmt numFmtId="166" formatCode="#,##0.00;[RED]\-#,##0.00"/>
    <numFmt numFmtId="167" formatCode="0.0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sz val="11"/>
      <name val="Cambria"/>
      <family val="0"/>
      <charset val="1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DDEBF7"/>
      </patternFill>
    </fill>
    <fill>
      <patternFill patternType="solid">
        <fgColor rgb="FFFFE699"/>
        <bgColor rgb="FFFFCC99"/>
      </patternFill>
    </fill>
    <fill>
      <patternFill patternType="solid">
        <fgColor rgb="FFDDEBF7"/>
        <bgColor rgb="FFCCFFFF"/>
      </patternFill>
    </fill>
    <fill>
      <patternFill patternType="solid">
        <fgColor rgb="FFFCE4D6"/>
        <bgColor rgb="FFFFE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1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5" customFormat="false" ht="15" hidden="false" customHeight="false" outlineLevel="0" collapsed="false">
      <c r="B5" s="2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45901</v>
      </c>
    </row>
    <row r="28" customFormat="false" ht="15" hidden="false" customHeight="false" outlineLevel="0" collapsed="false">
      <c r="B28" s="0" t="s">
        <v>14</v>
      </c>
      <c r="J28" s="8" t="n">
        <v>33200000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0.0183</v>
      </c>
    </row>
    <row r="33" customFormat="false" ht="15" hidden="false" customHeight="false" outlineLevel="0" collapsed="false">
      <c r="B33" s="0" t="s">
        <v>18</v>
      </c>
      <c r="F33" s="9" t="n">
        <v>0.0153</v>
      </c>
    </row>
    <row r="35" customFormat="false" ht="15" hidden="false" customHeight="false" outlineLevel="0" collapsed="false">
      <c r="B35" s="0" t="s">
        <v>19</v>
      </c>
      <c r="F35" s="9" t="n">
        <v>0.043</v>
      </c>
    </row>
    <row r="37" customFormat="false" ht="15" hidden="false" customHeight="false" outlineLevel="0" collapsed="false">
      <c r="B37" s="0" t="s">
        <v>20</v>
      </c>
      <c r="F37" s="9" t="n">
        <v>0.0327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1085640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59784.18</v>
      </c>
    </row>
    <row r="49" customFormat="false" ht="15" hidden="false" customHeight="false" outlineLevel="0" collapsed="false">
      <c r="B49" s="0" t="s">
        <v>26</v>
      </c>
      <c r="F49" s="10" t="n">
        <f aca="false">E102</f>
        <v>140300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116118.2</v>
      </c>
    </row>
    <row r="55" customFormat="false" ht="15" hidden="false" customHeight="false" outlineLevel="0" collapsed="false">
      <c r="B55" s="0" t="s">
        <v>29</v>
      </c>
      <c r="F55" s="8" t="n">
        <v>1060579.56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1060579.56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37</v>
      </c>
      <c r="J78" s="14" t="n">
        <v>23352.64</v>
      </c>
    </row>
    <row r="79" customFormat="false" ht="15" hidden="false" customHeight="false" outlineLevel="0" collapsed="false">
      <c r="G79" s="0" t="s">
        <v>38</v>
      </c>
      <c r="J79" s="14" t="n">
        <v>12076.14</v>
      </c>
    </row>
    <row r="80" customFormat="false" ht="15" hidden="false" customHeight="false" outlineLevel="0" collapsed="false">
      <c r="G80" s="0" t="s">
        <v>39</v>
      </c>
      <c r="J80" s="14" t="n">
        <v>24355.4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59784.18</v>
      </c>
    </row>
    <row r="91" customFormat="false" ht="15" hidden="false" customHeight="false" outlineLevel="0" collapsed="false">
      <c r="B91" s="11" t="s">
        <v>40</v>
      </c>
      <c r="G91" s="11" t="s">
        <v>41</v>
      </c>
    </row>
    <row r="92" customFormat="false" ht="15" hidden="false" customHeight="false" outlineLevel="0" collapsed="false">
      <c r="B92" s="0" t="s">
        <v>42</v>
      </c>
      <c r="E92" s="14" t="n">
        <v>9800</v>
      </c>
    </row>
    <row r="93" customFormat="false" ht="15" hidden="false" customHeight="false" outlineLevel="0" collapsed="false">
      <c r="B93" s="0" t="s">
        <v>43</v>
      </c>
      <c r="E93" s="14" t="n">
        <v>38500</v>
      </c>
    </row>
    <row r="94" customFormat="false" ht="15" hidden="false" customHeight="false" outlineLevel="0" collapsed="false">
      <c r="B94" s="0" t="s">
        <v>44</v>
      </c>
      <c r="E94" s="14" t="n">
        <v>92000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140300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45</v>
      </c>
      <c r="G105" s="11" t="s">
        <v>46</v>
      </c>
    </row>
    <row r="106" customFormat="false" ht="15" hidden="false" customHeight="false" outlineLevel="0" collapsed="false">
      <c r="B106" s="0" t="s">
        <v>47</v>
      </c>
      <c r="E106" s="14" t="n">
        <v>42844.44</v>
      </c>
    </row>
    <row r="107" customFormat="false" ht="15" hidden="false" customHeight="false" outlineLevel="0" collapsed="false">
      <c r="B107" s="0" t="s">
        <v>48</v>
      </c>
      <c r="E107" s="14" t="n">
        <v>46034.35</v>
      </c>
    </row>
    <row r="108" customFormat="false" ht="15" hidden="false" customHeight="false" outlineLevel="0" collapsed="false">
      <c r="B108" s="0" t="s">
        <v>49</v>
      </c>
      <c r="E108" s="14" t="n">
        <v>27239.41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116118.2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50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51</v>
      </c>
    </row>
    <row r="135" customFormat="false" ht="15" hidden="false" customHeight="false" outlineLevel="0" collapsed="false">
      <c r="G135" s="12" t="s">
        <v>52</v>
      </c>
    </row>
    <row r="136" customFormat="false" ht="15" hidden="false" customHeight="false" outlineLevel="0" collapsed="false">
      <c r="C136" s="0" t="s">
        <v>53</v>
      </c>
      <c r="D136" s="4" t="str">
        <f aca="false">D24</f>
        <v>JANGADA</v>
      </c>
      <c r="G136" s="15" t="s">
        <v>54</v>
      </c>
      <c r="J136" s="8" t="n">
        <v>458315.69</v>
      </c>
    </row>
    <row r="137" customFormat="false" ht="15" hidden="false" customHeight="false" outlineLevel="0" collapsed="false">
      <c r="C137" s="0" t="s">
        <v>55</v>
      </c>
      <c r="D137" s="10" t="n">
        <f aca="false">J28</f>
        <v>33200000</v>
      </c>
      <c r="G137" s="15" t="s">
        <v>56</v>
      </c>
      <c r="J137" s="8" t="n">
        <v>492599.13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preliminar</v>
      </c>
      <c r="G138" s="15" t="s">
        <v>57</v>
      </c>
      <c r="J138" s="10" t="n">
        <f aca="false">J137-J136</f>
        <v>34283.44</v>
      </c>
    </row>
    <row r="139" customFormat="false" ht="15" hidden="false" customHeight="false" outlineLevel="0" collapsed="false">
      <c r="C139" s="0" t="s">
        <v>58</v>
      </c>
      <c r="D139" s="16" t="n">
        <f aca="false">E26</f>
        <v>45901</v>
      </c>
      <c r="G139" s="15" t="s">
        <v>59</v>
      </c>
    </row>
    <row r="140" customFormat="false" ht="15" hidden="false" customHeight="false" outlineLevel="0" collapsed="false">
      <c r="C140" s="0" t="s">
        <v>60</v>
      </c>
      <c r="D140" s="17" t="n">
        <f aca="false">F31</f>
        <v>0.0183</v>
      </c>
    </row>
    <row r="141" customFormat="false" ht="15" hidden="false" customHeight="false" outlineLevel="0" collapsed="false">
      <c r="C141" s="0" t="s">
        <v>61</v>
      </c>
      <c r="D141" s="17" t="n">
        <f aca="false">F33</f>
        <v>0.0153</v>
      </c>
    </row>
    <row r="142" customFormat="false" ht="15" hidden="false" customHeight="false" outlineLevel="0" collapsed="false">
      <c r="C142" s="0" t="s">
        <v>62</v>
      </c>
      <c r="D142" s="17" t="n">
        <f aca="false">F35</f>
        <v>0.043</v>
      </c>
    </row>
    <row r="143" customFormat="false" ht="15" hidden="false" customHeight="false" outlineLevel="0" collapsed="false">
      <c r="C143" s="0" t="s">
        <v>63</v>
      </c>
      <c r="D143" s="17" t="n">
        <f aca="false">F37</f>
        <v>0.0327</v>
      </c>
    </row>
    <row r="145" customFormat="false" ht="15" hidden="false" customHeight="false" outlineLevel="0" collapsed="false">
      <c r="B145" s="0" t="s">
        <v>64</v>
      </c>
      <c r="C145" s="0" t="s">
        <v>65</v>
      </c>
      <c r="D145" s="10" t="n">
        <f aca="false">F39</f>
        <v>1085640</v>
      </c>
      <c r="E145" s="18" t="n">
        <f aca="false">D145/$D$137</f>
        <v>0.0327</v>
      </c>
    </row>
    <row r="146" customFormat="false" ht="15" hidden="false" customHeight="false" outlineLevel="0" collapsed="false">
      <c r="B146" s="0" t="s">
        <v>66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67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68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69</v>
      </c>
      <c r="C149" s="0" t="s">
        <v>36</v>
      </c>
      <c r="D149" s="10" t="n">
        <f aca="false">F47</f>
        <v>59784.18</v>
      </c>
      <c r="E149" s="18" t="n">
        <f aca="false">D149/$D$137</f>
        <v>0.00180072831325301</v>
      </c>
    </row>
    <row r="150" customFormat="false" ht="15" hidden="false" customHeight="false" outlineLevel="0" collapsed="false">
      <c r="B150" s="0" t="s">
        <v>70</v>
      </c>
      <c r="C150" s="0" t="s">
        <v>71</v>
      </c>
      <c r="D150" s="10" t="n">
        <f aca="false">F49</f>
        <v>140300</v>
      </c>
      <c r="E150" s="18" t="n">
        <f aca="false">D150/$D$137</f>
        <v>0.00422590361445783</v>
      </c>
    </row>
    <row r="151" customFormat="false" ht="15" hidden="false" customHeight="false" outlineLevel="0" collapsed="false">
      <c r="B151" s="0" t="s">
        <v>72</v>
      </c>
      <c r="C151" s="0" t="s">
        <v>73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74</v>
      </c>
      <c r="C152" s="0" t="s">
        <v>45</v>
      </c>
      <c r="D152" s="10" t="n">
        <f aca="false">F53</f>
        <v>116118.2</v>
      </c>
      <c r="E152" s="18" t="n">
        <f aca="false">D152/$D$137</f>
        <v>0.00349753614457831</v>
      </c>
    </row>
    <row r="153" customFormat="false" ht="15" hidden="false" customHeight="false" outlineLevel="0" collapsed="false">
      <c r="B153" s="0" t="s">
        <v>75</v>
      </c>
      <c r="C153" s="0" t="s">
        <v>76</v>
      </c>
      <c r="D153" s="10" t="n">
        <f aca="false">F56</f>
        <v>1060579.56</v>
      </c>
      <c r="E153" s="18" t="n">
        <f aca="false">D153/$D$137</f>
        <v>0.0319451674698795</v>
      </c>
    </row>
    <row r="154" customFormat="false" ht="15" hidden="false" customHeight="false" outlineLevel="0" collapsed="false">
      <c r="B154" s="0" t="s">
        <v>77</v>
      </c>
      <c r="C154" s="0" t="s">
        <v>50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78</v>
      </c>
      <c r="D155" s="13" t="n">
        <f aca="false">D145+D146+D147+D148+D149+D150+D151-D152-D153-D154</f>
        <v>109026.42</v>
      </c>
      <c r="E155" s="19" t="n">
        <f aca="false">D155/D137</f>
        <v>0.00328392831325301</v>
      </c>
    </row>
    <row r="156" customFormat="false" ht="15" hidden="false" customHeight="false" outlineLevel="0" collapsed="false">
      <c r="C156" s="0" t="s">
        <v>79</v>
      </c>
    </row>
    <row r="160" customFormat="false" ht="15" hidden="false" customHeight="false" outlineLevel="0" collapsed="false">
      <c r="B160" s="12" t="s">
        <v>80</v>
      </c>
    </row>
    <row r="162" customFormat="false" ht="15" hidden="false" customHeight="false" outlineLevel="0" collapsed="false">
      <c r="B162" s="12" t="s">
        <v>81</v>
      </c>
    </row>
    <row r="163" customFormat="false" ht="15" hidden="false" customHeight="false" outlineLevel="0" collapsed="false">
      <c r="B163" s="0" t="s">
        <v>82</v>
      </c>
    </row>
    <row r="164" customFormat="false" ht="15" hidden="false" customHeight="false" outlineLevel="0" collapsed="false">
      <c r="B164" s="12" t="s">
        <v>83</v>
      </c>
    </row>
    <row r="165" customFormat="false" ht="15" hidden="false" customHeight="false" outlineLevel="0" collapsed="false">
      <c r="B165" s="0" t="s">
        <v>84</v>
      </c>
    </row>
    <row r="166" customFormat="false" ht="15" hidden="false" customHeight="false" outlineLevel="0" collapsed="false">
      <c r="B166" s="12" t="s">
        <v>85</v>
      </c>
    </row>
    <row r="167" customFormat="false" ht="15" hidden="false" customHeight="false" outlineLevel="0" collapsed="false">
      <c r="B167" s="0" t="s">
        <v>86</v>
      </c>
    </row>
    <row r="168" customFormat="false" ht="15" hidden="false" customHeight="false" outlineLevel="0" collapsed="false">
      <c r="B168" s="12" t="s">
        <v>87</v>
      </c>
    </row>
    <row r="169" customFormat="false" ht="15" hidden="false" customHeight="false" outlineLevel="0" collapsed="false">
      <c r="B169" s="0" t="s">
        <v>88</v>
      </c>
    </row>
    <row r="170" customFormat="false" ht="15" hidden="false" customHeight="false" outlineLevel="0" collapsed="false">
      <c r="B170" s="12" t="s">
        <v>89</v>
      </c>
    </row>
    <row r="171" customFormat="false" ht="15" hidden="false" customHeight="false" outlineLevel="0" collapsed="false">
      <c r="B171" s="0" t="s">
        <v>90</v>
      </c>
    </row>
    <row r="172" customFormat="false" ht="15" hidden="false" customHeight="false" outlineLevel="0" collapsed="false">
      <c r="B172" s="12" t="s">
        <v>91</v>
      </c>
    </row>
    <row r="173" customFormat="false" ht="15" hidden="false" customHeight="false" outlineLevel="0" collapsed="false">
      <c r="B173" s="0" t="s">
        <v>92</v>
      </c>
    </row>
    <row r="174" customFormat="false" ht="15" hidden="false" customHeight="false" outlineLevel="0" collapsed="false">
      <c r="B174" s="12" t="s">
        <v>93</v>
      </c>
    </row>
    <row r="175" customFormat="false" ht="15" hidden="false" customHeight="false" outlineLevel="0" collapsed="false">
      <c r="B175" s="0" t="s">
        <v>94</v>
      </c>
    </row>
    <row r="176" customFormat="false" ht="15" hidden="false" customHeight="false" outlineLevel="0" collapsed="false">
      <c r="B176" s="12" t="s">
        <v>95</v>
      </c>
    </row>
    <row r="177" customFormat="false" ht="15" hidden="false" customHeight="false" outlineLevel="0" collapsed="false">
      <c r="B177" s="0" t="s">
        <v>96</v>
      </c>
    </row>
    <row r="178" customFormat="false" ht="15" hidden="false" customHeight="false" outlineLevel="0" collapsed="false">
      <c r="B178" s="12" t="s">
        <v>97</v>
      </c>
    </row>
    <row r="179" customFormat="false" ht="15" hidden="false" customHeight="false" outlineLevel="0" collapsed="false">
      <c r="B179" s="0" t="s">
        <v>98</v>
      </c>
    </row>
    <row r="180" customFormat="false" ht="15" hidden="false" customHeight="false" outlineLevel="0" collapsed="false">
      <c r="B180" s="12" t="s">
        <v>99</v>
      </c>
    </row>
    <row r="181" customFormat="false" ht="15" hidden="false" customHeight="false" outlineLevel="0" collapsed="false">
      <c r="B181" s="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45931</v>
      </c>
    </row>
    <row r="28" customFormat="false" ht="15" hidden="false" customHeight="false" outlineLevel="0" collapsed="false">
      <c r="B28" s="0" t="s">
        <v>14</v>
      </c>
      <c r="J28" s="8" t="n">
        <v>33339440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0.0226</v>
      </c>
    </row>
    <row r="33" customFormat="false" ht="15" hidden="false" customHeight="false" outlineLevel="0" collapsed="false">
      <c r="B33" s="0" t="s">
        <v>18</v>
      </c>
      <c r="F33" s="9" t="n">
        <v>0.0204</v>
      </c>
    </row>
    <row r="35" customFormat="false" ht="15" hidden="false" customHeight="false" outlineLevel="0" collapsed="false">
      <c r="B35" s="0" t="s">
        <v>19</v>
      </c>
      <c r="F35" s="9" t="n">
        <v>0.0656</v>
      </c>
    </row>
    <row r="37" customFormat="false" ht="15" hidden="false" customHeight="false" outlineLevel="0" collapsed="false">
      <c r="B37" s="0" t="s">
        <v>20</v>
      </c>
      <c r="F37" s="9" t="n">
        <v>0.0531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1770324.264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64577.45</v>
      </c>
    </row>
    <row r="49" customFormat="false" ht="15" hidden="false" customHeight="false" outlineLevel="0" collapsed="false">
      <c r="B49" s="0" t="s">
        <v>26</v>
      </c>
      <c r="F49" s="10" t="n">
        <f aca="false">E102</f>
        <v>140300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139003.09</v>
      </c>
    </row>
    <row r="55" customFormat="false" ht="15" hidden="false" customHeight="false" outlineLevel="0" collapsed="false">
      <c r="B55" s="0" t="s">
        <v>29</v>
      </c>
      <c r="F55" s="8" t="n">
        <v>1749146.94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1749146.94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37</v>
      </c>
      <c r="J78" s="14" t="n">
        <v>25083.68</v>
      </c>
    </row>
    <row r="79" customFormat="false" ht="15" hidden="false" customHeight="false" outlineLevel="0" collapsed="false">
      <c r="G79" s="0" t="s">
        <v>38</v>
      </c>
      <c r="J79" s="14" t="n">
        <v>24220.01</v>
      </c>
    </row>
    <row r="80" customFormat="false" ht="15" hidden="false" customHeight="false" outlineLevel="0" collapsed="false">
      <c r="G80" s="0" t="s">
        <v>39</v>
      </c>
      <c r="J80" s="14" t="n">
        <v>15273.76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64577.45</v>
      </c>
    </row>
    <row r="91" customFormat="false" ht="15" hidden="false" customHeight="false" outlineLevel="0" collapsed="false">
      <c r="B91" s="11" t="s">
        <v>40</v>
      </c>
      <c r="G91" s="11" t="s">
        <v>41</v>
      </c>
    </row>
    <row r="92" customFormat="false" ht="15" hidden="false" customHeight="false" outlineLevel="0" collapsed="false">
      <c r="B92" s="0" t="s">
        <v>42</v>
      </c>
      <c r="E92" s="14" t="n">
        <v>9800</v>
      </c>
    </row>
    <row r="93" customFormat="false" ht="15" hidden="false" customHeight="false" outlineLevel="0" collapsed="false">
      <c r="B93" s="0" t="s">
        <v>43</v>
      </c>
      <c r="E93" s="14" t="n">
        <v>38500</v>
      </c>
    </row>
    <row r="94" customFormat="false" ht="15" hidden="false" customHeight="false" outlineLevel="0" collapsed="false">
      <c r="B94" s="0" t="s">
        <v>44</v>
      </c>
      <c r="E94" s="14" t="n">
        <v>92000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140300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45</v>
      </c>
      <c r="G105" s="11" t="s">
        <v>46</v>
      </c>
    </row>
    <row r="106" customFormat="false" ht="15" hidden="false" customHeight="false" outlineLevel="0" collapsed="false">
      <c r="B106" s="0" t="s">
        <v>101</v>
      </c>
      <c r="E106" s="14" t="n">
        <v>38223.23</v>
      </c>
    </row>
    <row r="107" customFormat="false" ht="15" hidden="false" customHeight="false" outlineLevel="0" collapsed="false">
      <c r="B107" s="0" t="s">
        <v>102</v>
      </c>
      <c r="E107" s="14" t="n">
        <v>47979.64</v>
      </c>
    </row>
    <row r="108" customFormat="false" ht="15" hidden="false" customHeight="false" outlineLevel="0" collapsed="false">
      <c r="B108" s="0" t="s">
        <v>103</v>
      </c>
      <c r="E108" s="14" t="n">
        <v>52800.22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139003.09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50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51</v>
      </c>
    </row>
    <row r="135" customFormat="false" ht="15" hidden="false" customHeight="false" outlineLevel="0" collapsed="false">
      <c r="G135" s="12" t="s">
        <v>52</v>
      </c>
    </row>
    <row r="136" customFormat="false" ht="15" hidden="false" customHeight="false" outlineLevel="0" collapsed="false">
      <c r="C136" s="0" t="s">
        <v>53</v>
      </c>
      <c r="D136" s="4" t="str">
        <f aca="false">D24</f>
        <v>JANGADA</v>
      </c>
      <c r="G136" s="15" t="s">
        <v>54</v>
      </c>
      <c r="J136" s="8" t="n">
        <v>681054.2</v>
      </c>
    </row>
    <row r="137" customFormat="false" ht="15" hidden="false" customHeight="false" outlineLevel="0" collapsed="false">
      <c r="C137" s="0" t="s">
        <v>55</v>
      </c>
      <c r="D137" s="10" t="n">
        <f aca="false">J28</f>
        <v>33339440</v>
      </c>
      <c r="G137" s="15" t="s">
        <v>56</v>
      </c>
      <c r="J137" s="8" t="n">
        <v>688567.38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preliminar</v>
      </c>
      <c r="G138" s="15" t="s">
        <v>57</v>
      </c>
      <c r="J138" s="10" t="n">
        <f aca="false">J137-J136</f>
        <v>7513.18000000005</v>
      </c>
    </row>
    <row r="139" customFormat="false" ht="15" hidden="false" customHeight="false" outlineLevel="0" collapsed="false">
      <c r="C139" s="0" t="s">
        <v>58</v>
      </c>
      <c r="D139" s="16" t="n">
        <f aca="false">E26</f>
        <v>45931</v>
      </c>
      <c r="G139" s="15" t="s">
        <v>59</v>
      </c>
    </row>
    <row r="140" customFormat="false" ht="15" hidden="false" customHeight="false" outlineLevel="0" collapsed="false">
      <c r="C140" s="0" t="s">
        <v>60</v>
      </c>
      <c r="D140" s="17" t="n">
        <f aca="false">F31</f>
        <v>0.0226</v>
      </c>
    </row>
    <row r="141" customFormat="false" ht="15" hidden="false" customHeight="false" outlineLevel="0" collapsed="false">
      <c r="C141" s="0" t="s">
        <v>61</v>
      </c>
      <c r="D141" s="17" t="n">
        <f aca="false">F33</f>
        <v>0.0204</v>
      </c>
    </row>
    <row r="142" customFormat="false" ht="15" hidden="false" customHeight="false" outlineLevel="0" collapsed="false">
      <c r="C142" s="0" t="s">
        <v>62</v>
      </c>
      <c r="D142" s="17" t="n">
        <f aca="false">F35</f>
        <v>0.0656</v>
      </c>
    </row>
    <row r="143" customFormat="false" ht="15" hidden="false" customHeight="false" outlineLevel="0" collapsed="false">
      <c r="C143" s="0" t="s">
        <v>63</v>
      </c>
      <c r="D143" s="17" t="n">
        <f aca="false">F37</f>
        <v>0.0531</v>
      </c>
    </row>
    <row r="145" customFormat="false" ht="15" hidden="false" customHeight="false" outlineLevel="0" collapsed="false">
      <c r="B145" s="0" t="s">
        <v>64</v>
      </c>
      <c r="C145" s="0" t="s">
        <v>65</v>
      </c>
      <c r="D145" s="10" t="n">
        <f aca="false">F39</f>
        <v>1770324.264</v>
      </c>
      <c r="E145" s="18" t="n">
        <f aca="false">D145/$D$137</f>
        <v>0.0531</v>
      </c>
    </row>
    <row r="146" customFormat="false" ht="15" hidden="false" customHeight="false" outlineLevel="0" collapsed="false">
      <c r="B146" s="0" t="s">
        <v>66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67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68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69</v>
      </c>
      <c r="C149" s="0" t="s">
        <v>36</v>
      </c>
      <c r="D149" s="10" t="n">
        <f aca="false">F47</f>
        <v>64577.45</v>
      </c>
      <c r="E149" s="18" t="n">
        <f aca="false">D149/$D$137</f>
        <v>0.00193696864734381</v>
      </c>
    </row>
    <row r="150" customFormat="false" ht="15" hidden="false" customHeight="false" outlineLevel="0" collapsed="false">
      <c r="B150" s="0" t="s">
        <v>70</v>
      </c>
      <c r="C150" s="0" t="s">
        <v>71</v>
      </c>
      <c r="D150" s="10" t="n">
        <f aca="false">F49</f>
        <v>140300</v>
      </c>
      <c r="E150" s="18" t="n">
        <f aca="false">D150/$D$137</f>
        <v>0.00420822905243759</v>
      </c>
    </row>
    <row r="151" customFormat="false" ht="15" hidden="false" customHeight="false" outlineLevel="0" collapsed="false">
      <c r="B151" s="0" t="s">
        <v>72</v>
      </c>
      <c r="C151" s="0" t="s">
        <v>73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74</v>
      </c>
      <c r="C152" s="0" t="s">
        <v>45</v>
      </c>
      <c r="D152" s="10" t="n">
        <f aca="false">F53</f>
        <v>139003.09</v>
      </c>
      <c r="E152" s="18" t="n">
        <f aca="false">D152/$D$137</f>
        <v>0.00416932887894938</v>
      </c>
    </row>
    <row r="153" customFormat="false" ht="15" hidden="false" customHeight="false" outlineLevel="0" collapsed="false">
      <c r="B153" s="0" t="s">
        <v>75</v>
      </c>
      <c r="C153" s="0" t="s">
        <v>76</v>
      </c>
      <c r="D153" s="10" t="n">
        <f aca="false">F56</f>
        <v>1749146.94</v>
      </c>
      <c r="E153" s="18" t="n">
        <f aca="false">D153/$D$137</f>
        <v>0.0524647966492539</v>
      </c>
    </row>
    <row r="154" customFormat="false" ht="15" hidden="false" customHeight="false" outlineLevel="0" collapsed="false">
      <c r="B154" s="0" t="s">
        <v>77</v>
      </c>
      <c r="C154" s="0" t="s">
        <v>50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78</v>
      </c>
      <c r="D155" s="13" t="n">
        <f aca="false">D145+D146+D147+D148+D149+D150+D151-D152-D153-D154</f>
        <v>87051.6839999999</v>
      </c>
      <c r="E155" s="19" t="n">
        <f aca="false">D155/D137</f>
        <v>0.00261107217157816</v>
      </c>
    </row>
    <row r="156" customFormat="false" ht="15" hidden="false" customHeight="false" outlineLevel="0" collapsed="false">
      <c r="C156" s="0" t="s">
        <v>79</v>
      </c>
      <c r="D156" s="10" t="n">
        <f aca="false">SET25!D155</f>
        <v>109026.42</v>
      </c>
      <c r="E156" s="17" t="n">
        <f aca="false">SET25!E155</f>
        <v>0.00328392831325301</v>
      </c>
    </row>
    <row r="160" customFormat="false" ht="15" hidden="false" customHeight="false" outlineLevel="0" collapsed="false">
      <c r="B160" s="12" t="s">
        <v>80</v>
      </c>
    </row>
    <row r="162" customFormat="false" ht="15" hidden="false" customHeight="false" outlineLevel="0" collapsed="false">
      <c r="B162" s="12" t="s">
        <v>81</v>
      </c>
    </row>
    <row r="163" customFormat="false" ht="15" hidden="false" customHeight="false" outlineLevel="0" collapsed="false">
      <c r="B163" s="0" t="s">
        <v>82</v>
      </c>
    </row>
    <row r="164" customFormat="false" ht="15" hidden="false" customHeight="false" outlineLevel="0" collapsed="false">
      <c r="B164" s="12" t="s">
        <v>83</v>
      </c>
    </row>
    <row r="165" customFormat="false" ht="15" hidden="false" customHeight="false" outlineLevel="0" collapsed="false">
      <c r="B165" s="0" t="s">
        <v>84</v>
      </c>
    </row>
    <row r="166" customFormat="false" ht="15" hidden="false" customHeight="false" outlineLevel="0" collapsed="false">
      <c r="B166" s="12" t="s">
        <v>85</v>
      </c>
    </row>
    <row r="167" customFormat="false" ht="15" hidden="false" customHeight="false" outlineLevel="0" collapsed="false">
      <c r="B167" s="0" t="s">
        <v>86</v>
      </c>
    </row>
    <row r="168" customFormat="false" ht="15" hidden="false" customHeight="false" outlineLevel="0" collapsed="false">
      <c r="B168" s="12" t="s">
        <v>87</v>
      </c>
    </row>
    <row r="169" customFormat="false" ht="15" hidden="false" customHeight="false" outlineLevel="0" collapsed="false">
      <c r="B169" s="0" t="s">
        <v>88</v>
      </c>
    </row>
    <row r="170" customFormat="false" ht="15" hidden="false" customHeight="false" outlineLevel="0" collapsed="false">
      <c r="B170" s="12" t="s">
        <v>89</v>
      </c>
    </row>
    <row r="171" customFormat="false" ht="15" hidden="false" customHeight="false" outlineLevel="0" collapsed="false">
      <c r="B171" s="0" t="s">
        <v>90</v>
      </c>
    </row>
    <row r="172" customFormat="false" ht="15" hidden="false" customHeight="false" outlineLevel="0" collapsed="false">
      <c r="B172" s="12" t="s">
        <v>91</v>
      </c>
    </row>
    <row r="173" customFormat="false" ht="15" hidden="false" customHeight="false" outlineLevel="0" collapsed="false">
      <c r="B173" s="0" t="s">
        <v>92</v>
      </c>
    </row>
    <row r="174" customFormat="false" ht="15" hidden="false" customHeight="false" outlineLevel="0" collapsed="false">
      <c r="B174" s="12" t="s">
        <v>93</v>
      </c>
    </row>
    <row r="175" customFormat="false" ht="15" hidden="false" customHeight="false" outlineLevel="0" collapsed="false">
      <c r="B175" s="0" t="s">
        <v>94</v>
      </c>
    </row>
    <row r="176" customFormat="false" ht="15" hidden="false" customHeight="false" outlineLevel="0" collapsed="false">
      <c r="B176" s="12" t="s">
        <v>95</v>
      </c>
    </row>
    <row r="177" customFormat="false" ht="15" hidden="false" customHeight="false" outlineLevel="0" collapsed="false">
      <c r="B177" s="0" t="s">
        <v>96</v>
      </c>
    </row>
    <row r="178" customFormat="false" ht="15" hidden="false" customHeight="false" outlineLevel="0" collapsed="false">
      <c r="B178" s="12" t="s">
        <v>97</v>
      </c>
    </row>
    <row r="179" customFormat="false" ht="15" hidden="false" customHeight="false" outlineLevel="0" collapsed="false">
      <c r="B179" s="0" t="s">
        <v>98</v>
      </c>
    </row>
    <row r="180" customFormat="false" ht="15" hidden="false" customHeight="false" outlineLevel="0" collapsed="false">
      <c r="B180" s="12" t="s">
        <v>99</v>
      </c>
    </row>
    <row r="181" customFormat="false" ht="15" hidden="false" customHeight="false" outlineLevel="0" collapsed="false">
      <c r="B181" s="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45962</v>
      </c>
    </row>
    <row r="28" customFormat="false" ht="15" hidden="false" customHeight="false" outlineLevel="0" collapsed="false">
      <c r="B28" s="0" t="s">
        <v>14</v>
      </c>
      <c r="J28" s="8" t="n">
        <v>33478880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0.0267</v>
      </c>
    </row>
    <row r="33" customFormat="false" ht="15" hidden="false" customHeight="false" outlineLevel="0" collapsed="false">
      <c r="B33" s="0" t="s">
        <v>18</v>
      </c>
      <c r="F33" s="9" t="n">
        <v>0.0245</v>
      </c>
    </row>
    <row r="35" customFormat="false" ht="15" hidden="false" customHeight="false" outlineLevel="0" collapsed="false">
      <c r="B35" s="0" t="s">
        <v>19</v>
      </c>
      <c r="F35" s="9" t="n">
        <v>0.0923</v>
      </c>
    </row>
    <row r="37" customFormat="false" ht="15" hidden="false" customHeight="false" outlineLevel="0" collapsed="false">
      <c r="B37" s="0" t="s">
        <v>20</v>
      </c>
      <c r="F37" s="9" t="n">
        <v>0.0776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2597961.088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143256.02</v>
      </c>
    </row>
    <row r="49" customFormat="false" ht="15" hidden="false" customHeight="false" outlineLevel="0" collapsed="false">
      <c r="B49" s="0" t="s">
        <v>26</v>
      </c>
      <c r="F49" s="10" t="n">
        <f aca="false">E102</f>
        <v>140300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142057.33</v>
      </c>
    </row>
    <row r="55" customFormat="false" ht="15" hidden="false" customHeight="false" outlineLevel="0" collapsed="false">
      <c r="B55" s="0" t="s">
        <v>29</v>
      </c>
      <c r="F55" s="8" t="n">
        <v>2680614.01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2680614.01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104</v>
      </c>
      <c r="J78" s="14" t="n">
        <v>51002.48</v>
      </c>
    </row>
    <row r="79" customFormat="false" ht="15" hidden="false" customHeight="false" outlineLevel="0" collapsed="false">
      <c r="G79" s="0" t="s">
        <v>38</v>
      </c>
      <c r="J79" s="14" t="n">
        <v>50586.25</v>
      </c>
    </row>
    <row r="80" customFormat="false" ht="15" hidden="false" customHeight="false" outlineLevel="0" collapsed="false">
      <c r="G80" s="0" t="s">
        <v>105</v>
      </c>
      <c r="J80" s="14" t="n">
        <v>41667.29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143256.02</v>
      </c>
    </row>
    <row r="91" customFormat="false" ht="15" hidden="false" customHeight="false" outlineLevel="0" collapsed="false">
      <c r="B91" s="11" t="s">
        <v>40</v>
      </c>
      <c r="G91" s="11" t="s">
        <v>41</v>
      </c>
    </row>
    <row r="92" customFormat="false" ht="15" hidden="false" customHeight="false" outlineLevel="0" collapsed="false">
      <c r="B92" s="0" t="s">
        <v>42</v>
      </c>
      <c r="E92" s="14" t="n">
        <v>9800</v>
      </c>
    </row>
    <row r="93" customFormat="false" ht="15" hidden="false" customHeight="false" outlineLevel="0" collapsed="false">
      <c r="B93" s="0" t="s">
        <v>43</v>
      </c>
      <c r="E93" s="14" t="n">
        <v>38500</v>
      </c>
    </row>
    <row r="94" customFormat="false" ht="15" hidden="false" customHeight="false" outlineLevel="0" collapsed="false">
      <c r="B94" s="0" t="s">
        <v>44</v>
      </c>
      <c r="E94" s="14" t="n">
        <v>92000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140300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45</v>
      </c>
      <c r="G105" s="11" t="s">
        <v>46</v>
      </c>
    </row>
    <row r="106" customFormat="false" ht="15" hidden="false" customHeight="false" outlineLevel="0" collapsed="false">
      <c r="B106" s="0" t="s">
        <v>106</v>
      </c>
      <c r="E106" s="14" t="n">
        <v>32833.6</v>
      </c>
    </row>
    <row r="107" customFormat="false" ht="15" hidden="false" customHeight="false" outlineLevel="0" collapsed="false">
      <c r="B107" s="0" t="s">
        <v>107</v>
      </c>
      <c r="E107" s="14" t="n">
        <v>55836.41</v>
      </c>
    </row>
    <row r="108" customFormat="false" ht="15" hidden="false" customHeight="false" outlineLevel="0" collapsed="false">
      <c r="B108" s="0" t="s">
        <v>108</v>
      </c>
      <c r="E108" s="14" t="n">
        <v>53387.32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142057.33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50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51</v>
      </c>
    </row>
    <row r="135" customFormat="false" ht="15" hidden="false" customHeight="false" outlineLevel="0" collapsed="false">
      <c r="G135" s="12" t="s">
        <v>52</v>
      </c>
    </row>
    <row r="136" customFormat="false" ht="15" hidden="false" customHeight="false" outlineLevel="0" collapsed="false">
      <c r="C136" s="0" t="s">
        <v>53</v>
      </c>
      <c r="D136" s="4" t="str">
        <f aca="false">D24</f>
        <v>JANGADA</v>
      </c>
      <c r="G136" s="15" t="s">
        <v>54</v>
      </c>
      <c r="J136" s="8" t="n">
        <v>966857.7</v>
      </c>
    </row>
    <row r="137" customFormat="false" ht="15" hidden="false" customHeight="false" outlineLevel="0" collapsed="false">
      <c r="C137" s="0" t="s">
        <v>55</v>
      </c>
      <c r="D137" s="10" t="n">
        <f aca="false">J28</f>
        <v>33478880</v>
      </c>
      <c r="G137" s="15" t="s">
        <v>56</v>
      </c>
      <c r="J137" s="8" t="n">
        <v>931467.07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preliminar</v>
      </c>
      <c r="G138" s="15" t="s">
        <v>57</v>
      </c>
      <c r="J138" s="10" t="n">
        <f aca="false">J137-J136</f>
        <v>-35390.63</v>
      </c>
    </row>
    <row r="139" customFormat="false" ht="15" hidden="false" customHeight="false" outlineLevel="0" collapsed="false">
      <c r="C139" s="0" t="s">
        <v>58</v>
      </c>
      <c r="D139" s="16" t="n">
        <f aca="false">E26</f>
        <v>45962</v>
      </c>
      <c r="G139" s="15" t="s">
        <v>59</v>
      </c>
    </row>
    <row r="140" customFormat="false" ht="15" hidden="false" customHeight="false" outlineLevel="0" collapsed="false">
      <c r="C140" s="0" t="s">
        <v>60</v>
      </c>
      <c r="D140" s="17" t="n">
        <f aca="false">F31</f>
        <v>0.0267</v>
      </c>
    </row>
    <row r="141" customFormat="false" ht="15" hidden="false" customHeight="false" outlineLevel="0" collapsed="false">
      <c r="C141" s="0" t="s">
        <v>61</v>
      </c>
      <c r="D141" s="17" t="n">
        <f aca="false">F33</f>
        <v>0.0245</v>
      </c>
    </row>
    <row r="142" customFormat="false" ht="15" hidden="false" customHeight="false" outlineLevel="0" collapsed="false">
      <c r="C142" s="0" t="s">
        <v>62</v>
      </c>
      <c r="D142" s="17" t="n">
        <f aca="false">F35</f>
        <v>0.0923</v>
      </c>
    </row>
    <row r="143" customFormat="false" ht="15" hidden="false" customHeight="false" outlineLevel="0" collapsed="false">
      <c r="C143" s="0" t="s">
        <v>63</v>
      </c>
      <c r="D143" s="17" t="n">
        <f aca="false">F37</f>
        <v>0.0776</v>
      </c>
    </row>
    <row r="145" customFormat="false" ht="15" hidden="false" customHeight="false" outlineLevel="0" collapsed="false">
      <c r="B145" s="0" t="s">
        <v>64</v>
      </c>
      <c r="C145" s="0" t="s">
        <v>65</v>
      </c>
      <c r="D145" s="10" t="n">
        <f aca="false">F39</f>
        <v>2597961.088</v>
      </c>
      <c r="E145" s="18" t="n">
        <f aca="false">D145/$D$137</f>
        <v>0.0776</v>
      </c>
    </row>
    <row r="146" customFormat="false" ht="15" hidden="false" customHeight="false" outlineLevel="0" collapsed="false">
      <c r="B146" s="0" t="s">
        <v>66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67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68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69</v>
      </c>
      <c r="C149" s="0" t="s">
        <v>36</v>
      </c>
      <c r="D149" s="10" t="n">
        <f aca="false">F47</f>
        <v>143256.02</v>
      </c>
      <c r="E149" s="18" t="n">
        <f aca="false">D149/$D$137</f>
        <v>0.00427899678842303</v>
      </c>
    </row>
    <row r="150" customFormat="false" ht="15" hidden="false" customHeight="false" outlineLevel="0" collapsed="false">
      <c r="B150" s="0" t="s">
        <v>70</v>
      </c>
      <c r="C150" s="0" t="s">
        <v>71</v>
      </c>
      <c r="D150" s="10" t="n">
        <f aca="false">F49</f>
        <v>140300</v>
      </c>
      <c r="E150" s="18" t="n">
        <f aca="false">D150/$D$137</f>
        <v>0.00419070172000975</v>
      </c>
    </row>
    <row r="151" customFormat="false" ht="15" hidden="false" customHeight="false" outlineLevel="0" collapsed="false">
      <c r="B151" s="0" t="s">
        <v>72</v>
      </c>
      <c r="C151" s="0" t="s">
        <v>73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74</v>
      </c>
      <c r="C152" s="0" t="s">
        <v>45</v>
      </c>
      <c r="D152" s="10" t="n">
        <f aca="false">F53</f>
        <v>142057.33</v>
      </c>
      <c r="E152" s="18" t="n">
        <f aca="false">D152/$D$137</f>
        <v>0.00424319242459724</v>
      </c>
    </row>
    <row r="153" customFormat="false" ht="15" hidden="false" customHeight="false" outlineLevel="0" collapsed="false">
      <c r="B153" s="0" t="s">
        <v>75</v>
      </c>
      <c r="C153" s="0" t="s">
        <v>76</v>
      </c>
      <c r="D153" s="10" t="n">
        <f aca="false">F56</f>
        <v>2680614.01</v>
      </c>
      <c r="E153" s="18" t="n">
        <f aca="false">D153/$D$137</f>
        <v>0.0800688078573716</v>
      </c>
    </row>
    <row r="154" customFormat="false" ht="15" hidden="false" customHeight="false" outlineLevel="0" collapsed="false">
      <c r="B154" s="0" t="s">
        <v>77</v>
      </c>
      <c r="C154" s="0" t="s">
        <v>50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78</v>
      </c>
      <c r="D155" s="13" t="n">
        <f aca="false">D145+D146+D147+D148+D149+D150+D151-D152-D153-D154</f>
        <v>58845.7680000002</v>
      </c>
      <c r="E155" s="19" t="n">
        <f aca="false">D155/D137</f>
        <v>0.00175769822646397</v>
      </c>
    </row>
    <row r="156" customFormat="false" ht="15" hidden="false" customHeight="false" outlineLevel="0" collapsed="false">
      <c r="C156" s="0" t="s">
        <v>79</v>
      </c>
      <c r="D156" s="10" t="n">
        <f aca="false">OUT25!D155</f>
        <v>87051.6839999999</v>
      </c>
      <c r="E156" s="17" t="n">
        <f aca="false">OUT25!E155</f>
        <v>0.00261107217157816</v>
      </c>
    </row>
    <row r="160" customFormat="false" ht="15" hidden="false" customHeight="false" outlineLevel="0" collapsed="false">
      <c r="B160" s="12" t="s">
        <v>80</v>
      </c>
    </row>
    <row r="162" customFormat="false" ht="15" hidden="false" customHeight="false" outlineLevel="0" collapsed="false">
      <c r="B162" s="12" t="s">
        <v>81</v>
      </c>
    </row>
    <row r="163" customFormat="false" ht="15" hidden="false" customHeight="false" outlineLevel="0" collapsed="false">
      <c r="B163" s="0" t="s">
        <v>82</v>
      </c>
    </row>
    <row r="164" customFormat="false" ht="15" hidden="false" customHeight="false" outlineLevel="0" collapsed="false">
      <c r="B164" s="12" t="s">
        <v>83</v>
      </c>
    </row>
    <row r="165" customFormat="false" ht="15" hidden="false" customHeight="false" outlineLevel="0" collapsed="false">
      <c r="B165" s="0" t="s">
        <v>84</v>
      </c>
    </row>
    <row r="166" customFormat="false" ht="15" hidden="false" customHeight="false" outlineLevel="0" collapsed="false">
      <c r="B166" s="12" t="s">
        <v>85</v>
      </c>
    </row>
    <row r="167" customFormat="false" ht="15" hidden="false" customHeight="false" outlineLevel="0" collapsed="false">
      <c r="B167" s="0" t="s">
        <v>86</v>
      </c>
    </row>
    <row r="168" customFormat="false" ht="15" hidden="false" customHeight="false" outlineLevel="0" collapsed="false">
      <c r="B168" s="12" t="s">
        <v>87</v>
      </c>
    </row>
    <row r="169" customFormat="false" ht="15" hidden="false" customHeight="false" outlineLevel="0" collapsed="false">
      <c r="B169" s="0" t="s">
        <v>88</v>
      </c>
    </row>
    <row r="170" customFormat="false" ht="15" hidden="false" customHeight="false" outlineLevel="0" collapsed="false">
      <c r="B170" s="12" t="s">
        <v>89</v>
      </c>
    </row>
    <row r="171" customFormat="false" ht="15" hidden="false" customHeight="false" outlineLevel="0" collapsed="false">
      <c r="B171" s="0" t="s">
        <v>90</v>
      </c>
    </row>
    <row r="172" customFormat="false" ht="15" hidden="false" customHeight="false" outlineLevel="0" collapsed="false">
      <c r="B172" s="12" t="s">
        <v>91</v>
      </c>
    </row>
    <row r="173" customFormat="false" ht="15" hidden="false" customHeight="false" outlineLevel="0" collapsed="false">
      <c r="B173" s="0" t="s">
        <v>92</v>
      </c>
    </row>
    <row r="174" customFormat="false" ht="15" hidden="false" customHeight="false" outlineLevel="0" collapsed="false">
      <c r="B174" s="12" t="s">
        <v>93</v>
      </c>
    </row>
    <row r="175" customFormat="false" ht="15" hidden="false" customHeight="false" outlineLevel="0" collapsed="false">
      <c r="B175" s="0" t="s">
        <v>94</v>
      </c>
    </row>
    <row r="176" customFormat="false" ht="15" hidden="false" customHeight="false" outlineLevel="0" collapsed="false">
      <c r="B176" s="12" t="s">
        <v>95</v>
      </c>
    </row>
    <row r="177" customFormat="false" ht="15" hidden="false" customHeight="false" outlineLevel="0" collapsed="false">
      <c r="B177" s="0" t="s">
        <v>96</v>
      </c>
    </row>
    <row r="178" customFormat="false" ht="15" hidden="false" customHeight="false" outlineLevel="0" collapsed="false">
      <c r="B178" s="12" t="s">
        <v>97</v>
      </c>
    </row>
    <row r="179" customFormat="false" ht="15" hidden="false" customHeight="false" outlineLevel="0" collapsed="false">
      <c r="B179" s="0" t="s">
        <v>98</v>
      </c>
    </row>
    <row r="180" customFormat="false" ht="15" hidden="false" customHeight="false" outlineLevel="0" collapsed="false">
      <c r="B180" s="12" t="s">
        <v>99</v>
      </c>
    </row>
    <row r="181" customFormat="false" ht="15" hidden="false" customHeight="false" outlineLevel="0" collapsed="false">
      <c r="B181" s="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45992</v>
      </c>
    </row>
    <row r="28" customFormat="false" ht="15" hidden="false" customHeight="false" outlineLevel="0" collapsed="false">
      <c r="B28" s="0" t="s">
        <v>14</v>
      </c>
      <c r="J28" s="8" t="n">
        <v>33618320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0.0303</v>
      </c>
    </row>
    <row r="33" customFormat="false" ht="15" hidden="false" customHeight="false" outlineLevel="0" collapsed="false">
      <c r="B33" s="0" t="s">
        <v>18</v>
      </c>
      <c r="F33" s="9" t="n">
        <v>0.0274</v>
      </c>
    </row>
    <row r="35" customFormat="false" ht="15" hidden="false" customHeight="false" outlineLevel="0" collapsed="false">
      <c r="B35" s="0" t="s">
        <v>19</v>
      </c>
      <c r="F35" s="9" t="n">
        <v>0.1226</v>
      </c>
    </row>
    <row r="37" customFormat="false" ht="15" hidden="false" customHeight="false" outlineLevel="0" collapsed="false">
      <c r="B37" s="0" t="s">
        <v>20</v>
      </c>
      <c r="F37" s="9" t="n">
        <v>0.105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3529923.6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187199.82</v>
      </c>
    </row>
    <row r="49" customFormat="false" ht="15" hidden="false" customHeight="false" outlineLevel="0" collapsed="false">
      <c r="B49" s="0" t="s">
        <v>26</v>
      </c>
      <c r="F49" s="10" t="n">
        <f aca="false">E102</f>
        <v>140300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200797.13</v>
      </c>
    </row>
    <row r="55" customFormat="false" ht="15" hidden="false" customHeight="false" outlineLevel="0" collapsed="false">
      <c r="B55" s="0" t="s">
        <v>29</v>
      </c>
      <c r="F55" s="8" t="n">
        <v>3631511.74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3631511.74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104</v>
      </c>
      <c r="J78" s="14" t="n">
        <v>68074.8</v>
      </c>
    </row>
    <row r="79" customFormat="false" ht="15" hidden="false" customHeight="false" outlineLevel="0" collapsed="false">
      <c r="G79" s="0" t="s">
        <v>38</v>
      </c>
      <c r="J79" s="14" t="n">
        <v>60724.24</v>
      </c>
    </row>
    <row r="80" customFormat="false" ht="15" hidden="false" customHeight="false" outlineLevel="0" collapsed="false">
      <c r="G80" s="0" t="s">
        <v>105</v>
      </c>
      <c r="J80" s="14" t="n">
        <v>58400.78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187199.82</v>
      </c>
    </row>
    <row r="91" customFormat="false" ht="15" hidden="false" customHeight="false" outlineLevel="0" collapsed="false">
      <c r="B91" s="11" t="s">
        <v>40</v>
      </c>
      <c r="G91" s="11" t="s">
        <v>41</v>
      </c>
    </row>
    <row r="92" customFormat="false" ht="15" hidden="false" customHeight="false" outlineLevel="0" collapsed="false">
      <c r="B92" s="0" t="s">
        <v>42</v>
      </c>
      <c r="E92" s="14" t="n">
        <v>9800</v>
      </c>
    </row>
    <row r="93" customFormat="false" ht="15" hidden="false" customHeight="false" outlineLevel="0" collapsed="false">
      <c r="B93" s="0" t="s">
        <v>43</v>
      </c>
      <c r="E93" s="14" t="n">
        <v>38500</v>
      </c>
    </row>
    <row r="94" customFormat="false" ht="15" hidden="false" customHeight="false" outlineLevel="0" collapsed="false">
      <c r="B94" s="0" t="s">
        <v>44</v>
      </c>
      <c r="E94" s="14" t="n">
        <v>92000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140300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45</v>
      </c>
      <c r="G105" s="11" t="s">
        <v>46</v>
      </c>
    </row>
    <row r="106" customFormat="false" ht="15" hidden="false" customHeight="false" outlineLevel="0" collapsed="false">
      <c r="B106" s="0" t="s">
        <v>109</v>
      </c>
      <c r="E106" s="14" t="n">
        <v>73699.91</v>
      </c>
    </row>
    <row r="107" customFormat="false" ht="15" hidden="false" customHeight="false" outlineLevel="0" collapsed="false">
      <c r="B107" s="0" t="s">
        <v>110</v>
      </c>
      <c r="E107" s="14" t="n">
        <v>67329.62</v>
      </c>
    </row>
    <row r="108" customFormat="false" ht="15" hidden="false" customHeight="false" outlineLevel="0" collapsed="false">
      <c r="B108" s="0" t="s">
        <v>111</v>
      </c>
      <c r="E108" s="14" t="n">
        <v>59767.6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200797.13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50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51</v>
      </c>
    </row>
    <row r="135" customFormat="false" ht="15" hidden="false" customHeight="false" outlineLevel="0" collapsed="false">
      <c r="G135" s="12" t="s">
        <v>52</v>
      </c>
    </row>
    <row r="136" customFormat="false" ht="15" hidden="false" customHeight="false" outlineLevel="0" collapsed="false">
      <c r="C136" s="0" t="s">
        <v>53</v>
      </c>
      <c r="D136" s="4" t="str">
        <f aca="false">D24</f>
        <v>JANGADA</v>
      </c>
      <c r="G136" s="15" t="s">
        <v>54</v>
      </c>
      <c r="J136" s="8" t="n">
        <v>1038187.95</v>
      </c>
    </row>
    <row r="137" customFormat="false" ht="15" hidden="false" customHeight="false" outlineLevel="0" collapsed="false">
      <c r="C137" s="0" t="s">
        <v>55</v>
      </c>
      <c r="D137" s="10" t="n">
        <f aca="false">J28</f>
        <v>33618320</v>
      </c>
      <c r="G137" s="15" t="s">
        <v>56</v>
      </c>
      <c r="J137" s="8" t="n">
        <v>950897.73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preliminar</v>
      </c>
      <c r="G138" s="15" t="s">
        <v>57</v>
      </c>
      <c r="J138" s="10" t="n">
        <f aca="false">J137-J136</f>
        <v>-87290.22</v>
      </c>
    </row>
    <row r="139" customFormat="false" ht="15" hidden="false" customHeight="false" outlineLevel="0" collapsed="false">
      <c r="C139" s="0" t="s">
        <v>58</v>
      </c>
      <c r="D139" s="16" t="n">
        <f aca="false">E26</f>
        <v>45992</v>
      </c>
      <c r="G139" s="15" t="s">
        <v>59</v>
      </c>
    </row>
    <row r="140" customFormat="false" ht="15" hidden="false" customHeight="false" outlineLevel="0" collapsed="false">
      <c r="C140" s="0" t="s">
        <v>60</v>
      </c>
      <c r="D140" s="17" t="n">
        <f aca="false">F31</f>
        <v>0.0303</v>
      </c>
    </row>
    <row r="141" customFormat="false" ht="15" hidden="false" customHeight="false" outlineLevel="0" collapsed="false">
      <c r="C141" s="0" t="s">
        <v>61</v>
      </c>
      <c r="D141" s="17" t="n">
        <f aca="false">F33</f>
        <v>0.0274</v>
      </c>
    </row>
    <row r="142" customFormat="false" ht="15" hidden="false" customHeight="false" outlineLevel="0" collapsed="false">
      <c r="C142" s="0" t="s">
        <v>62</v>
      </c>
      <c r="D142" s="17" t="n">
        <f aca="false">F35</f>
        <v>0.1226</v>
      </c>
    </row>
    <row r="143" customFormat="false" ht="15" hidden="false" customHeight="false" outlineLevel="0" collapsed="false">
      <c r="C143" s="0" t="s">
        <v>63</v>
      </c>
      <c r="D143" s="17" t="n">
        <f aca="false">F37</f>
        <v>0.105</v>
      </c>
    </row>
    <row r="145" customFormat="false" ht="15" hidden="false" customHeight="false" outlineLevel="0" collapsed="false">
      <c r="B145" s="0" t="s">
        <v>64</v>
      </c>
      <c r="C145" s="0" t="s">
        <v>65</v>
      </c>
      <c r="D145" s="10" t="n">
        <f aca="false">F39</f>
        <v>3529923.6</v>
      </c>
      <c r="E145" s="18" t="n">
        <f aca="false">D145/$D$137</f>
        <v>0.105</v>
      </c>
    </row>
    <row r="146" customFormat="false" ht="15" hidden="false" customHeight="false" outlineLevel="0" collapsed="false">
      <c r="B146" s="0" t="s">
        <v>66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67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68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69</v>
      </c>
      <c r="C149" s="0" t="s">
        <v>36</v>
      </c>
      <c r="D149" s="10" t="n">
        <f aca="false">F47</f>
        <v>187199.82</v>
      </c>
      <c r="E149" s="18" t="n">
        <f aca="false">D149/$D$137</f>
        <v>0.00556838711750022</v>
      </c>
    </row>
    <row r="150" customFormat="false" ht="15" hidden="false" customHeight="false" outlineLevel="0" collapsed="false">
      <c r="B150" s="0" t="s">
        <v>70</v>
      </c>
      <c r="C150" s="0" t="s">
        <v>71</v>
      </c>
      <c r="D150" s="10" t="n">
        <f aca="false">F49</f>
        <v>140300</v>
      </c>
      <c r="E150" s="18" t="n">
        <f aca="false">D150/$D$137</f>
        <v>0.00417331978516476</v>
      </c>
    </row>
    <row r="151" customFormat="false" ht="15" hidden="false" customHeight="false" outlineLevel="0" collapsed="false">
      <c r="B151" s="0" t="s">
        <v>72</v>
      </c>
      <c r="C151" s="0" t="s">
        <v>73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74</v>
      </c>
      <c r="C152" s="0" t="s">
        <v>45</v>
      </c>
      <c r="D152" s="10" t="n">
        <f aca="false">F53</f>
        <v>200797.13</v>
      </c>
      <c r="E152" s="18" t="n">
        <f aca="false">D152/$D$137</f>
        <v>0.00597284843501995</v>
      </c>
    </row>
    <row r="153" customFormat="false" ht="15" hidden="false" customHeight="false" outlineLevel="0" collapsed="false">
      <c r="B153" s="0" t="s">
        <v>75</v>
      </c>
      <c r="C153" s="0" t="s">
        <v>76</v>
      </c>
      <c r="D153" s="10" t="n">
        <f aca="false">F56</f>
        <v>3631511.74</v>
      </c>
      <c r="E153" s="18" t="n">
        <f aca="false">D153/$D$137</f>
        <v>0.108021808942267</v>
      </c>
    </row>
    <row r="154" customFormat="false" ht="15" hidden="false" customHeight="false" outlineLevel="0" collapsed="false">
      <c r="B154" s="0" t="s">
        <v>77</v>
      </c>
      <c r="C154" s="0" t="s">
        <v>50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78</v>
      </c>
      <c r="D155" s="13" t="n">
        <f aca="false">D145+D146+D147+D148+D149+D150+D151-D152-D153-D154</f>
        <v>25114.5499999998</v>
      </c>
      <c r="E155" s="19" t="n">
        <f aca="false">D155/D137</f>
        <v>0.000747049525377824</v>
      </c>
    </row>
    <row r="156" customFormat="false" ht="15" hidden="false" customHeight="false" outlineLevel="0" collapsed="false">
      <c r="C156" s="0" t="s">
        <v>79</v>
      </c>
      <c r="D156" s="10" t="n">
        <f aca="false">NOV25!D155</f>
        <v>58845.7680000002</v>
      </c>
      <c r="E156" s="17" t="n">
        <f aca="false">NOV25!E155</f>
        <v>0.00175769822646397</v>
      </c>
    </row>
    <row r="160" customFormat="false" ht="15" hidden="false" customHeight="false" outlineLevel="0" collapsed="false">
      <c r="B160" s="12" t="s">
        <v>80</v>
      </c>
    </row>
    <row r="162" customFormat="false" ht="15" hidden="false" customHeight="false" outlineLevel="0" collapsed="false">
      <c r="B162" s="12" t="s">
        <v>81</v>
      </c>
    </row>
    <row r="163" customFormat="false" ht="15" hidden="false" customHeight="false" outlineLevel="0" collapsed="false">
      <c r="B163" s="0" t="s">
        <v>82</v>
      </c>
    </row>
    <row r="164" customFormat="false" ht="15" hidden="false" customHeight="false" outlineLevel="0" collapsed="false">
      <c r="B164" s="12" t="s">
        <v>83</v>
      </c>
    </row>
    <row r="165" customFormat="false" ht="15" hidden="false" customHeight="false" outlineLevel="0" collapsed="false">
      <c r="B165" s="0" t="s">
        <v>84</v>
      </c>
    </row>
    <row r="166" customFormat="false" ht="15" hidden="false" customHeight="false" outlineLevel="0" collapsed="false">
      <c r="B166" s="12" t="s">
        <v>85</v>
      </c>
    </row>
    <row r="167" customFormat="false" ht="15" hidden="false" customHeight="false" outlineLevel="0" collapsed="false">
      <c r="B167" s="0" t="s">
        <v>86</v>
      </c>
    </row>
    <row r="168" customFormat="false" ht="15" hidden="false" customHeight="false" outlineLevel="0" collapsed="false">
      <c r="B168" s="12" t="s">
        <v>87</v>
      </c>
    </row>
    <row r="169" customFormat="false" ht="15" hidden="false" customHeight="false" outlineLevel="0" collapsed="false">
      <c r="B169" s="0" t="s">
        <v>88</v>
      </c>
    </row>
    <row r="170" customFormat="false" ht="15" hidden="false" customHeight="false" outlineLevel="0" collapsed="false">
      <c r="B170" s="12" t="s">
        <v>89</v>
      </c>
    </row>
    <row r="171" customFormat="false" ht="15" hidden="false" customHeight="false" outlineLevel="0" collapsed="false">
      <c r="B171" s="0" t="s">
        <v>90</v>
      </c>
    </row>
    <row r="172" customFormat="false" ht="15" hidden="false" customHeight="false" outlineLevel="0" collapsed="false">
      <c r="B172" s="12" t="s">
        <v>91</v>
      </c>
    </row>
    <row r="173" customFormat="false" ht="15" hidden="false" customHeight="false" outlineLevel="0" collapsed="false">
      <c r="B173" s="0" t="s">
        <v>92</v>
      </c>
    </row>
    <row r="174" customFormat="false" ht="15" hidden="false" customHeight="false" outlineLevel="0" collapsed="false">
      <c r="B174" s="12" t="s">
        <v>93</v>
      </c>
    </row>
    <row r="175" customFormat="false" ht="15" hidden="false" customHeight="false" outlineLevel="0" collapsed="false">
      <c r="B175" s="0" t="s">
        <v>94</v>
      </c>
    </row>
    <row r="176" customFormat="false" ht="15" hidden="false" customHeight="false" outlineLevel="0" collapsed="false">
      <c r="B176" s="12" t="s">
        <v>95</v>
      </c>
    </row>
    <row r="177" customFormat="false" ht="15" hidden="false" customHeight="false" outlineLevel="0" collapsed="false">
      <c r="B177" s="0" t="s">
        <v>96</v>
      </c>
    </row>
    <row r="178" customFormat="false" ht="15" hidden="false" customHeight="false" outlineLevel="0" collapsed="false">
      <c r="B178" s="12" t="s">
        <v>97</v>
      </c>
    </row>
    <row r="179" customFormat="false" ht="15" hidden="false" customHeight="false" outlineLevel="0" collapsed="false">
      <c r="B179" s="0" t="s">
        <v>98</v>
      </c>
    </row>
    <row r="180" customFormat="false" ht="15" hidden="false" customHeight="false" outlineLevel="0" collapsed="false">
      <c r="B180" s="12" t="s">
        <v>99</v>
      </c>
    </row>
    <row r="181" customFormat="false" ht="15" hidden="false" customHeight="false" outlineLevel="0" collapsed="false">
      <c r="B181" s="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46023</v>
      </c>
    </row>
    <row r="28" customFormat="false" ht="15" hidden="false" customHeight="false" outlineLevel="0" collapsed="false">
      <c r="B28" s="0" t="s">
        <v>14</v>
      </c>
      <c r="J28" s="8" t="n">
        <v>33757760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0.0336</v>
      </c>
    </row>
    <row r="33" customFormat="false" ht="15" hidden="false" customHeight="false" outlineLevel="0" collapsed="false">
      <c r="B33" s="0" t="s">
        <v>18</v>
      </c>
      <c r="F33" s="9" t="n">
        <v>0.03</v>
      </c>
    </row>
    <row r="35" customFormat="false" ht="15" hidden="false" customHeight="false" outlineLevel="0" collapsed="false">
      <c r="B35" s="0" t="s">
        <v>19</v>
      </c>
      <c r="F35" s="9" t="n">
        <v>0.1562</v>
      </c>
    </row>
    <row r="37" customFormat="false" ht="15" hidden="false" customHeight="false" outlineLevel="0" collapsed="false">
      <c r="B37" s="0" t="s">
        <v>20</v>
      </c>
      <c r="F37" s="9" t="n">
        <v>0.135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4557297.6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147094.4</v>
      </c>
    </row>
    <row r="49" customFormat="false" ht="15" hidden="false" customHeight="false" outlineLevel="0" collapsed="false">
      <c r="B49" s="0" t="s">
        <v>26</v>
      </c>
      <c r="F49" s="10" t="n">
        <f aca="false">E102</f>
        <v>140300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200903.65</v>
      </c>
    </row>
    <row r="55" customFormat="false" ht="15" hidden="false" customHeight="false" outlineLevel="0" collapsed="false">
      <c r="B55" s="0" t="s">
        <v>29</v>
      </c>
      <c r="F55" s="8" t="n">
        <v>4658036.9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4658036.9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104</v>
      </c>
      <c r="J78" s="14" t="n">
        <v>45141.3</v>
      </c>
    </row>
    <row r="79" customFormat="false" ht="15" hidden="false" customHeight="false" outlineLevel="0" collapsed="false">
      <c r="G79" s="0" t="s">
        <v>38</v>
      </c>
      <c r="J79" s="14" t="n">
        <v>54093.5</v>
      </c>
    </row>
    <row r="80" customFormat="false" ht="15" hidden="false" customHeight="false" outlineLevel="0" collapsed="false">
      <c r="G80" s="0" t="s">
        <v>105</v>
      </c>
      <c r="J80" s="14" t="n">
        <v>47859.6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147094.4</v>
      </c>
    </row>
    <row r="91" customFormat="false" ht="15" hidden="false" customHeight="false" outlineLevel="0" collapsed="false">
      <c r="B91" s="11" t="s">
        <v>40</v>
      </c>
      <c r="G91" s="11" t="s">
        <v>41</v>
      </c>
    </row>
    <row r="92" customFormat="false" ht="15" hidden="false" customHeight="false" outlineLevel="0" collapsed="false">
      <c r="B92" s="0" t="s">
        <v>42</v>
      </c>
      <c r="E92" s="14" t="n">
        <v>9800</v>
      </c>
    </row>
    <row r="93" customFormat="false" ht="15" hidden="false" customHeight="false" outlineLevel="0" collapsed="false">
      <c r="B93" s="0" t="s">
        <v>43</v>
      </c>
      <c r="E93" s="14" t="n">
        <v>38500</v>
      </c>
    </row>
    <row r="94" customFormat="false" ht="15" hidden="false" customHeight="false" outlineLevel="0" collapsed="false">
      <c r="B94" s="0" t="s">
        <v>44</v>
      </c>
      <c r="E94" s="14" t="n">
        <v>92000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140300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45</v>
      </c>
      <c r="G105" s="11" t="s">
        <v>46</v>
      </c>
    </row>
    <row r="106" customFormat="false" ht="15" hidden="false" customHeight="false" outlineLevel="0" collapsed="false">
      <c r="B106" s="0" t="s">
        <v>112</v>
      </c>
      <c r="E106" s="14" t="n">
        <v>66631.18</v>
      </c>
    </row>
    <row r="107" customFormat="false" ht="15" hidden="false" customHeight="false" outlineLevel="0" collapsed="false">
      <c r="B107" s="0" t="s">
        <v>113</v>
      </c>
      <c r="E107" s="14" t="n">
        <v>72554.77</v>
      </c>
    </row>
    <row r="108" customFormat="false" ht="15" hidden="false" customHeight="false" outlineLevel="0" collapsed="false">
      <c r="B108" s="0" t="s">
        <v>114</v>
      </c>
      <c r="E108" s="14" t="n">
        <v>61717.7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200903.65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50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51</v>
      </c>
    </row>
    <row r="135" customFormat="false" ht="15" hidden="false" customHeight="false" outlineLevel="0" collapsed="false">
      <c r="G135" s="12" t="s">
        <v>52</v>
      </c>
    </row>
    <row r="136" customFormat="false" ht="15" hidden="false" customHeight="false" outlineLevel="0" collapsed="false">
      <c r="C136" s="0" t="s">
        <v>53</v>
      </c>
      <c r="D136" s="4" t="str">
        <f aca="false">D24</f>
        <v>JANGADA</v>
      </c>
      <c r="G136" s="15" t="s">
        <v>54</v>
      </c>
      <c r="J136" s="8" t="n">
        <v>1051483.13</v>
      </c>
    </row>
    <row r="137" customFormat="false" ht="15" hidden="false" customHeight="false" outlineLevel="0" collapsed="false">
      <c r="C137" s="0" t="s">
        <v>55</v>
      </c>
      <c r="D137" s="10" t="n">
        <f aca="false">J28</f>
        <v>33757760</v>
      </c>
      <c r="G137" s="15" t="s">
        <v>56</v>
      </c>
      <c r="J137" s="8" t="n">
        <v>1026525.16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preliminar</v>
      </c>
      <c r="G138" s="15" t="s">
        <v>57</v>
      </c>
      <c r="J138" s="10" t="n">
        <f aca="false">J137-J136</f>
        <v>-24957.9699999999</v>
      </c>
    </row>
    <row r="139" customFormat="false" ht="15" hidden="false" customHeight="false" outlineLevel="0" collapsed="false">
      <c r="C139" s="0" t="s">
        <v>58</v>
      </c>
      <c r="D139" s="16" t="n">
        <f aca="false">E26</f>
        <v>46023</v>
      </c>
      <c r="G139" s="15" t="s">
        <v>59</v>
      </c>
    </row>
    <row r="140" customFormat="false" ht="15" hidden="false" customHeight="false" outlineLevel="0" collapsed="false">
      <c r="C140" s="0" t="s">
        <v>60</v>
      </c>
      <c r="D140" s="17" t="n">
        <f aca="false">F31</f>
        <v>0.0336</v>
      </c>
    </row>
    <row r="141" customFormat="false" ht="15" hidden="false" customHeight="false" outlineLevel="0" collapsed="false">
      <c r="C141" s="0" t="s">
        <v>61</v>
      </c>
      <c r="D141" s="17" t="n">
        <f aca="false">F33</f>
        <v>0.03</v>
      </c>
    </row>
    <row r="142" customFormat="false" ht="15" hidden="false" customHeight="false" outlineLevel="0" collapsed="false">
      <c r="C142" s="0" t="s">
        <v>62</v>
      </c>
      <c r="D142" s="17" t="n">
        <f aca="false">F35</f>
        <v>0.1562</v>
      </c>
    </row>
    <row r="143" customFormat="false" ht="15" hidden="false" customHeight="false" outlineLevel="0" collapsed="false">
      <c r="C143" s="0" t="s">
        <v>63</v>
      </c>
      <c r="D143" s="17" t="n">
        <f aca="false">F37</f>
        <v>0.135</v>
      </c>
    </row>
    <row r="145" customFormat="false" ht="15" hidden="false" customHeight="false" outlineLevel="0" collapsed="false">
      <c r="B145" s="0" t="s">
        <v>64</v>
      </c>
      <c r="C145" s="0" t="s">
        <v>65</v>
      </c>
      <c r="D145" s="10" t="n">
        <f aca="false">F39</f>
        <v>4557297.6</v>
      </c>
      <c r="E145" s="18" t="n">
        <f aca="false">D145/$D$137</f>
        <v>0.135</v>
      </c>
    </row>
    <row r="146" customFormat="false" ht="15" hidden="false" customHeight="false" outlineLevel="0" collapsed="false">
      <c r="B146" s="0" t="s">
        <v>66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67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68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69</v>
      </c>
      <c r="C149" s="0" t="s">
        <v>36</v>
      </c>
      <c r="D149" s="10" t="n">
        <f aca="false">F47</f>
        <v>147094.4</v>
      </c>
      <c r="E149" s="18" t="n">
        <f aca="false">D149/$D$137</f>
        <v>0.00435735072469263</v>
      </c>
    </row>
    <row r="150" customFormat="false" ht="15" hidden="false" customHeight="false" outlineLevel="0" collapsed="false">
      <c r="B150" s="0" t="s">
        <v>70</v>
      </c>
      <c r="C150" s="0" t="s">
        <v>71</v>
      </c>
      <c r="D150" s="10" t="n">
        <f aca="false">F49</f>
        <v>140300</v>
      </c>
      <c r="E150" s="18" t="n">
        <f aca="false">D150/$D$137</f>
        <v>0.00415608144616231</v>
      </c>
    </row>
    <row r="151" customFormat="false" ht="15" hidden="false" customHeight="false" outlineLevel="0" collapsed="false">
      <c r="B151" s="0" t="s">
        <v>72</v>
      </c>
      <c r="C151" s="0" t="s">
        <v>73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74</v>
      </c>
      <c r="C152" s="0" t="s">
        <v>45</v>
      </c>
      <c r="D152" s="10" t="n">
        <f aca="false">F53</f>
        <v>200903.65</v>
      </c>
      <c r="E152" s="18" t="n">
        <f aca="false">D152/$D$137</f>
        <v>0.0059513323751339</v>
      </c>
    </row>
    <row r="153" customFormat="false" ht="15" hidden="false" customHeight="false" outlineLevel="0" collapsed="false">
      <c r="B153" s="0" t="s">
        <v>75</v>
      </c>
      <c r="C153" s="0" t="s">
        <v>76</v>
      </c>
      <c r="D153" s="10" t="n">
        <f aca="false">F56</f>
        <v>4658036.9</v>
      </c>
      <c r="E153" s="18" t="n">
        <f aca="false">D153/$D$137</f>
        <v>0.137984182007337</v>
      </c>
    </row>
    <row r="154" customFormat="false" ht="15" hidden="false" customHeight="false" outlineLevel="0" collapsed="false">
      <c r="B154" s="0" t="s">
        <v>77</v>
      </c>
      <c r="C154" s="0" t="s">
        <v>50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78</v>
      </c>
      <c r="D155" s="13" t="n">
        <f aca="false">D145+D146+D147+D148+D149+D150+D151-D152-D153-D154</f>
        <v>-14248.5499999998</v>
      </c>
      <c r="E155" s="19" t="n">
        <f aca="false">D155/D137</f>
        <v>-0.000422082211615931</v>
      </c>
    </row>
    <row r="156" customFormat="false" ht="15" hidden="false" customHeight="false" outlineLevel="0" collapsed="false">
      <c r="C156" s="0" t="s">
        <v>79</v>
      </c>
      <c r="D156" s="10" t="n">
        <f aca="false">DEZ25!D155</f>
        <v>25114.5499999998</v>
      </c>
      <c r="E156" s="17" t="n">
        <f aca="false">DEZ25!E155</f>
        <v>0.000747049525377824</v>
      </c>
    </row>
    <row r="160" customFormat="false" ht="15" hidden="false" customHeight="false" outlineLevel="0" collapsed="false">
      <c r="B160" s="12" t="s">
        <v>80</v>
      </c>
    </row>
    <row r="162" customFormat="false" ht="15" hidden="false" customHeight="false" outlineLevel="0" collapsed="false">
      <c r="B162" s="12" t="s">
        <v>81</v>
      </c>
    </row>
    <row r="163" customFormat="false" ht="15" hidden="false" customHeight="false" outlineLevel="0" collapsed="false">
      <c r="B163" s="0" t="s">
        <v>82</v>
      </c>
    </row>
    <row r="164" customFormat="false" ht="15" hidden="false" customHeight="false" outlineLevel="0" collapsed="false">
      <c r="B164" s="12" t="s">
        <v>83</v>
      </c>
    </row>
    <row r="165" customFormat="false" ht="15" hidden="false" customHeight="false" outlineLevel="0" collapsed="false">
      <c r="B165" s="0" t="s">
        <v>84</v>
      </c>
    </row>
    <row r="166" customFormat="false" ht="15" hidden="false" customHeight="false" outlineLevel="0" collapsed="false">
      <c r="B166" s="12" t="s">
        <v>85</v>
      </c>
    </row>
    <row r="167" customFormat="false" ht="15" hidden="false" customHeight="false" outlineLevel="0" collapsed="false">
      <c r="B167" s="0" t="s">
        <v>86</v>
      </c>
    </row>
    <row r="168" customFormat="false" ht="15" hidden="false" customHeight="false" outlineLevel="0" collapsed="false">
      <c r="B168" s="12" t="s">
        <v>87</v>
      </c>
    </row>
    <row r="169" customFormat="false" ht="15" hidden="false" customHeight="false" outlineLevel="0" collapsed="false">
      <c r="B169" s="0" t="s">
        <v>88</v>
      </c>
    </row>
    <row r="170" customFormat="false" ht="15" hidden="false" customHeight="false" outlineLevel="0" collapsed="false">
      <c r="B170" s="12" t="s">
        <v>89</v>
      </c>
    </row>
    <row r="171" customFormat="false" ht="15" hidden="false" customHeight="false" outlineLevel="0" collapsed="false">
      <c r="B171" s="0" t="s">
        <v>90</v>
      </c>
    </row>
    <row r="172" customFormat="false" ht="15" hidden="false" customHeight="false" outlineLevel="0" collapsed="false">
      <c r="B172" s="12" t="s">
        <v>91</v>
      </c>
    </row>
    <row r="173" customFormat="false" ht="15" hidden="false" customHeight="false" outlineLevel="0" collapsed="false">
      <c r="B173" s="0" t="s">
        <v>92</v>
      </c>
    </row>
    <row r="174" customFormat="false" ht="15" hidden="false" customHeight="false" outlineLevel="0" collapsed="false">
      <c r="B174" s="12" t="s">
        <v>93</v>
      </c>
    </row>
    <row r="175" customFormat="false" ht="15" hidden="false" customHeight="false" outlineLevel="0" collapsed="false">
      <c r="B175" s="0" t="s">
        <v>94</v>
      </c>
    </row>
    <row r="176" customFormat="false" ht="15" hidden="false" customHeight="false" outlineLevel="0" collapsed="false">
      <c r="B176" s="12" t="s">
        <v>95</v>
      </c>
    </row>
    <row r="177" customFormat="false" ht="15" hidden="false" customHeight="false" outlineLevel="0" collapsed="false">
      <c r="B177" s="0" t="s">
        <v>96</v>
      </c>
    </row>
    <row r="178" customFormat="false" ht="15" hidden="false" customHeight="false" outlineLevel="0" collapsed="false">
      <c r="B178" s="12" t="s">
        <v>97</v>
      </c>
    </row>
    <row r="179" customFormat="false" ht="15" hidden="false" customHeight="false" outlineLevel="0" collapsed="false">
      <c r="B179" s="0" t="s">
        <v>98</v>
      </c>
    </row>
    <row r="180" customFormat="false" ht="15" hidden="false" customHeight="false" outlineLevel="0" collapsed="false">
      <c r="B180" s="12" t="s">
        <v>99</v>
      </c>
    </row>
    <row r="181" customFormat="false" ht="15" hidden="false" customHeight="false" outlineLevel="0" collapsed="false">
      <c r="B181" s="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46054</v>
      </c>
    </row>
    <row r="28" customFormat="false" ht="15" hidden="false" customHeight="false" outlineLevel="0" collapsed="false">
      <c r="B28" s="0" t="s">
        <v>14</v>
      </c>
      <c r="J28" s="8" t="n">
        <v>33897200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0.0366</v>
      </c>
    </row>
    <row r="33" customFormat="false" ht="15" hidden="false" customHeight="false" outlineLevel="0" collapsed="false">
      <c r="B33" s="0" t="s">
        <v>18</v>
      </c>
      <c r="F33" s="9" t="n">
        <v>0.0332</v>
      </c>
    </row>
    <row r="35" customFormat="false" ht="15" hidden="false" customHeight="false" outlineLevel="0" collapsed="false">
      <c r="B35" s="0" t="s">
        <v>19</v>
      </c>
      <c r="F35" s="9" t="n">
        <v>0.1928</v>
      </c>
    </row>
    <row r="37" customFormat="false" ht="15" hidden="false" customHeight="false" outlineLevel="0" collapsed="false">
      <c r="B37" s="0" t="s">
        <v>20</v>
      </c>
      <c r="F37" s="9" t="n">
        <v>0.1682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5701509.04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171542.96</v>
      </c>
    </row>
    <row r="49" customFormat="false" ht="15" hidden="false" customHeight="false" outlineLevel="0" collapsed="false">
      <c r="B49" s="0" t="s">
        <v>26</v>
      </c>
      <c r="F49" s="10" t="n">
        <f aca="false">E102</f>
        <v>140300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270818.95</v>
      </c>
    </row>
    <row r="55" customFormat="false" ht="15" hidden="false" customHeight="false" outlineLevel="0" collapsed="false">
      <c r="B55" s="0" t="s">
        <v>29</v>
      </c>
      <c r="F55" s="8" t="n">
        <v>5802907.28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5802907.28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104</v>
      </c>
      <c r="J78" s="14" t="n">
        <v>42607.32</v>
      </c>
    </row>
    <row r="79" customFormat="false" ht="15" hidden="false" customHeight="false" outlineLevel="0" collapsed="false">
      <c r="G79" s="0" t="s">
        <v>38</v>
      </c>
      <c r="J79" s="14" t="n">
        <v>82352.05</v>
      </c>
    </row>
    <row r="80" customFormat="false" ht="15" hidden="false" customHeight="false" outlineLevel="0" collapsed="false">
      <c r="G80" s="0" t="s">
        <v>105</v>
      </c>
      <c r="J80" s="14" t="n">
        <v>46583.59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171542.96</v>
      </c>
    </row>
    <row r="91" customFormat="false" ht="15" hidden="false" customHeight="false" outlineLevel="0" collapsed="false">
      <c r="B91" s="11" t="s">
        <v>40</v>
      </c>
      <c r="G91" s="11" t="s">
        <v>41</v>
      </c>
    </row>
    <row r="92" customFormat="false" ht="15" hidden="false" customHeight="false" outlineLevel="0" collapsed="false">
      <c r="B92" s="0" t="s">
        <v>42</v>
      </c>
      <c r="E92" s="14" t="n">
        <v>9800</v>
      </c>
    </row>
    <row r="93" customFormat="false" ht="15" hidden="false" customHeight="false" outlineLevel="0" collapsed="false">
      <c r="B93" s="0" t="s">
        <v>43</v>
      </c>
      <c r="E93" s="14" t="n">
        <v>38500</v>
      </c>
    </row>
    <row r="94" customFormat="false" ht="15" hidden="false" customHeight="false" outlineLevel="0" collapsed="false">
      <c r="B94" s="0" t="s">
        <v>44</v>
      </c>
      <c r="E94" s="14" t="n">
        <v>92000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140300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45</v>
      </c>
      <c r="G105" s="11" t="s">
        <v>46</v>
      </c>
    </row>
    <row r="106" customFormat="false" ht="15" hidden="false" customHeight="false" outlineLevel="0" collapsed="false">
      <c r="B106" s="0" t="s">
        <v>115</v>
      </c>
      <c r="E106" s="14" t="n">
        <v>79559.2</v>
      </c>
    </row>
    <row r="107" customFormat="false" ht="15" hidden="false" customHeight="false" outlineLevel="0" collapsed="false">
      <c r="B107" s="0" t="s">
        <v>116</v>
      </c>
      <c r="E107" s="14" t="n">
        <v>120948.68</v>
      </c>
    </row>
    <row r="108" customFormat="false" ht="15" hidden="false" customHeight="false" outlineLevel="0" collapsed="false">
      <c r="B108" s="0" t="s">
        <v>117</v>
      </c>
      <c r="E108" s="14" t="n">
        <v>70311.07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270818.95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50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51</v>
      </c>
    </row>
    <row r="135" customFormat="false" ht="15" hidden="false" customHeight="false" outlineLevel="0" collapsed="false">
      <c r="G135" s="12" t="s">
        <v>52</v>
      </c>
    </row>
    <row r="136" customFormat="false" ht="15" hidden="false" customHeight="false" outlineLevel="0" collapsed="false">
      <c r="C136" s="0" t="s">
        <v>53</v>
      </c>
      <c r="D136" s="4" t="str">
        <f aca="false">D24</f>
        <v>JANGADA</v>
      </c>
      <c r="G136" s="15" t="s">
        <v>54</v>
      </c>
      <c r="J136" s="8" t="n">
        <v>1135637.24</v>
      </c>
    </row>
    <row r="137" customFormat="false" ht="15" hidden="false" customHeight="false" outlineLevel="0" collapsed="false">
      <c r="C137" s="0" t="s">
        <v>55</v>
      </c>
      <c r="D137" s="10" t="n">
        <f aca="false">J28</f>
        <v>33897200</v>
      </c>
      <c r="G137" s="15" t="s">
        <v>56</v>
      </c>
      <c r="J137" s="8" t="n">
        <v>1144870.38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preliminar</v>
      </c>
      <c r="G138" s="15" t="s">
        <v>57</v>
      </c>
      <c r="J138" s="10" t="n">
        <f aca="false">J137-J136</f>
        <v>9233.1399999999</v>
      </c>
    </row>
    <row r="139" customFormat="false" ht="15" hidden="false" customHeight="false" outlineLevel="0" collapsed="false">
      <c r="C139" s="0" t="s">
        <v>58</v>
      </c>
      <c r="D139" s="16" t="n">
        <f aca="false">E26</f>
        <v>46054</v>
      </c>
      <c r="G139" s="15" t="s">
        <v>59</v>
      </c>
    </row>
    <row r="140" customFormat="false" ht="15" hidden="false" customHeight="false" outlineLevel="0" collapsed="false">
      <c r="C140" s="0" t="s">
        <v>60</v>
      </c>
      <c r="D140" s="17" t="n">
        <f aca="false">F31</f>
        <v>0.0366</v>
      </c>
    </row>
    <row r="141" customFormat="false" ht="15" hidden="false" customHeight="false" outlineLevel="0" collapsed="false">
      <c r="C141" s="0" t="s">
        <v>61</v>
      </c>
      <c r="D141" s="17" t="n">
        <f aca="false">F33</f>
        <v>0.0332</v>
      </c>
    </row>
    <row r="142" customFormat="false" ht="15" hidden="false" customHeight="false" outlineLevel="0" collapsed="false">
      <c r="C142" s="0" t="s">
        <v>62</v>
      </c>
      <c r="D142" s="17" t="n">
        <f aca="false">F35</f>
        <v>0.1928</v>
      </c>
    </row>
    <row r="143" customFormat="false" ht="15" hidden="false" customHeight="false" outlineLevel="0" collapsed="false">
      <c r="C143" s="0" t="s">
        <v>63</v>
      </c>
      <c r="D143" s="17" t="n">
        <f aca="false">F37</f>
        <v>0.1682</v>
      </c>
    </row>
    <row r="145" customFormat="false" ht="15" hidden="false" customHeight="false" outlineLevel="0" collapsed="false">
      <c r="B145" s="0" t="s">
        <v>64</v>
      </c>
      <c r="C145" s="0" t="s">
        <v>65</v>
      </c>
      <c r="D145" s="10" t="n">
        <f aca="false">F39</f>
        <v>5701509.04</v>
      </c>
      <c r="E145" s="18" t="n">
        <f aca="false">D145/$D$137</f>
        <v>0.1682</v>
      </c>
    </row>
    <row r="146" customFormat="false" ht="15" hidden="false" customHeight="false" outlineLevel="0" collapsed="false">
      <c r="B146" s="0" t="s">
        <v>66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67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68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69</v>
      </c>
      <c r="C149" s="0" t="s">
        <v>36</v>
      </c>
      <c r="D149" s="10" t="n">
        <f aca="false">F47</f>
        <v>171542.96</v>
      </c>
      <c r="E149" s="18" t="n">
        <f aca="false">D149/$D$137</f>
        <v>0.00506068229824292</v>
      </c>
    </row>
    <row r="150" customFormat="false" ht="15" hidden="false" customHeight="false" outlineLevel="0" collapsed="false">
      <c r="B150" s="0" t="s">
        <v>70</v>
      </c>
      <c r="C150" s="0" t="s">
        <v>71</v>
      </c>
      <c r="D150" s="10" t="n">
        <f aca="false">F49</f>
        <v>140300</v>
      </c>
      <c r="E150" s="18" t="n">
        <f aca="false">D150/$D$137</f>
        <v>0.00413898493090875</v>
      </c>
    </row>
    <row r="151" customFormat="false" ht="15" hidden="false" customHeight="false" outlineLevel="0" collapsed="false">
      <c r="B151" s="0" t="s">
        <v>72</v>
      </c>
      <c r="C151" s="0" t="s">
        <v>73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74</v>
      </c>
      <c r="C152" s="0" t="s">
        <v>45</v>
      </c>
      <c r="D152" s="10" t="n">
        <f aca="false">F53</f>
        <v>270818.95</v>
      </c>
      <c r="E152" s="18" t="n">
        <f aca="false">D152/$D$137</f>
        <v>0.00798941948007505</v>
      </c>
    </row>
    <row r="153" customFormat="false" ht="15" hidden="false" customHeight="false" outlineLevel="0" collapsed="false">
      <c r="B153" s="0" t="s">
        <v>75</v>
      </c>
      <c r="C153" s="0" t="s">
        <v>76</v>
      </c>
      <c r="D153" s="10" t="n">
        <f aca="false">F56</f>
        <v>5802907.28</v>
      </c>
      <c r="E153" s="18" t="n">
        <f aca="false">D153/$D$137</f>
        <v>0.171191345597867</v>
      </c>
    </row>
    <row r="154" customFormat="false" ht="15" hidden="false" customHeight="false" outlineLevel="0" collapsed="false">
      <c r="B154" s="0" t="s">
        <v>77</v>
      </c>
      <c r="C154" s="0" t="s">
        <v>50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78</v>
      </c>
      <c r="D155" s="13" t="n">
        <f aca="false">D145+D146+D147+D148+D149+D150+D151-D152-D153-D154</f>
        <v>-60374.2300000005</v>
      </c>
      <c r="E155" s="19" t="n">
        <f aca="false">D155/D137</f>
        <v>-0.00178109784878988</v>
      </c>
    </row>
    <row r="156" customFormat="false" ht="15" hidden="false" customHeight="false" outlineLevel="0" collapsed="false">
      <c r="C156" s="0" t="s">
        <v>79</v>
      </c>
      <c r="D156" s="10" t="n">
        <f aca="false">JAN26!D155</f>
        <v>-14248.5499999998</v>
      </c>
      <c r="E156" s="17" t="n">
        <f aca="false">JAN26!E155</f>
        <v>-0.000422082211615931</v>
      </c>
    </row>
    <row r="160" customFormat="false" ht="15" hidden="false" customHeight="false" outlineLevel="0" collapsed="false">
      <c r="B160" s="12" t="s">
        <v>80</v>
      </c>
    </row>
    <row r="162" customFormat="false" ht="15" hidden="false" customHeight="false" outlineLevel="0" collapsed="false">
      <c r="B162" s="12" t="s">
        <v>81</v>
      </c>
    </row>
    <row r="163" customFormat="false" ht="15" hidden="false" customHeight="false" outlineLevel="0" collapsed="false">
      <c r="B163" s="0" t="s">
        <v>82</v>
      </c>
    </row>
    <row r="164" customFormat="false" ht="15" hidden="false" customHeight="false" outlineLevel="0" collapsed="false">
      <c r="B164" s="12" t="s">
        <v>83</v>
      </c>
    </row>
    <row r="165" customFormat="false" ht="15" hidden="false" customHeight="false" outlineLevel="0" collapsed="false">
      <c r="B165" s="0" t="s">
        <v>84</v>
      </c>
    </row>
    <row r="166" customFormat="false" ht="15" hidden="false" customHeight="false" outlineLevel="0" collapsed="false">
      <c r="B166" s="12" t="s">
        <v>85</v>
      </c>
    </row>
    <row r="167" customFormat="false" ht="15" hidden="false" customHeight="false" outlineLevel="0" collapsed="false">
      <c r="B167" s="0" t="s">
        <v>86</v>
      </c>
    </row>
    <row r="168" customFormat="false" ht="15" hidden="false" customHeight="false" outlineLevel="0" collapsed="false">
      <c r="B168" s="12" t="s">
        <v>87</v>
      </c>
    </row>
    <row r="169" customFormat="false" ht="15" hidden="false" customHeight="false" outlineLevel="0" collapsed="false">
      <c r="B169" s="0" t="s">
        <v>88</v>
      </c>
    </row>
    <row r="170" customFormat="false" ht="15" hidden="false" customHeight="false" outlineLevel="0" collapsed="false">
      <c r="B170" s="12" t="s">
        <v>89</v>
      </c>
    </row>
    <row r="171" customFormat="false" ht="15" hidden="false" customHeight="false" outlineLevel="0" collapsed="false">
      <c r="B171" s="0" t="s">
        <v>90</v>
      </c>
    </row>
    <row r="172" customFormat="false" ht="15" hidden="false" customHeight="false" outlineLevel="0" collapsed="false">
      <c r="B172" s="12" t="s">
        <v>91</v>
      </c>
    </row>
    <row r="173" customFormat="false" ht="15" hidden="false" customHeight="false" outlineLevel="0" collapsed="false">
      <c r="B173" s="0" t="s">
        <v>92</v>
      </c>
    </row>
    <row r="174" customFormat="false" ht="15" hidden="false" customHeight="false" outlineLevel="0" collapsed="false">
      <c r="B174" s="12" t="s">
        <v>93</v>
      </c>
    </row>
    <row r="175" customFormat="false" ht="15" hidden="false" customHeight="false" outlineLevel="0" collapsed="false">
      <c r="B175" s="0" t="s">
        <v>94</v>
      </c>
    </row>
    <row r="176" customFormat="false" ht="15" hidden="false" customHeight="false" outlineLevel="0" collapsed="false">
      <c r="B176" s="12" t="s">
        <v>95</v>
      </c>
    </row>
    <row r="177" customFormat="false" ht="15" hidden="false" customHeight="false" outlineLevel="0" collapsed="false">
      <c r="B177" s="0" t="s">
        <v>96</v>
      </c>
    </row>
    <row r="178" customFormat="false" ht="15" hidden="false" customHeight="false" outlineLevel="0" collapsed="false">
      <c r="B178" s="12" t="s">
        <v>97</v>
      </c>
    </row>
    <row r="179" customFormat="false" ht="15" hidden="false" customHeight="false" outlineLevel="0" collapsed="false">
      <c r="B179" s="0" t="s">
        <v>98</v>
      </c>
    </row>
    <row r="180" customFormat="false" ht="15" hidden="false" customHeight="false" outlineLevel="0" collapsed="false">
      <c r="B180" s="12" t="s">
        <v>99</v>
      </c>
    </row>
    <row r="181" customFormat="false" ht="15" hidden="false" customHeight="false" outlineLevel="0" collapsed="false">
      <c r="B181" s="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46082</v>
      </c>
    </row>
    <row r="28" customFormat="false" ht="15" hidden="false" customHeight="false" outlineLevel="0" collapsed="false">
      <c r="B28" s="0" t="s">
        <v>14</v>
      </c>
      <c r="J28" s="8" t="n">
        <v>34036640</v>
      </c>
    </row>
    <row r="29" customFormat="false" ht="15" hidden="false" customHeight="false" outlineLevel="0" collapsed="false">
      <c r="B29" s="0" t="s">
        <v>15</v>
      </c>
      <c r="J29" s="3" t="s">
        <v>16</v>
      </c>
    </row>
    <row r="31" customFormat="false" ht="15" hidden="false" customHeight="false" outlineLevel="0" collapsed="false">
      <c r="B31" s="0" t="s">
        <v>17</v>
      </c>
      <c r="F31" s="9" t="n">
        <v>0.0391</v>
      </c>
    </row>
    <row r="33" customFormat="false" ht="15" hidden="false" customHeight="false" outlineLevel="0" collapsed="false">
      <c r="B33" s="0" t="s">
        <v>18</v>
      </c>
      <c r="F33" s="9" t="n">
        <v>0.0273</v>
      </c>
    </row>
    <row r="35" customFormat="false" ht="15" hidden="false" customHeight="false" outlineLevel="0" collapsed="false">
      <c r="B35" s="0" t="s">
        <v>19</v>
      </c>
      <c r="F35" s="9" t="n">
        <v>0.1888</v>
      </c>
    </row>
    <row r="37" customFormat="false" ht="15" hidden="false" customHeight="false" outlineLevel="0" collapsed="false">
      <c r="B37" s="0" t="s">
        <v>20</v>
      </c>
      <c r="F37" s="9" t="n">
        <v>0.1955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6654163.12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201488.18</v>
      </c>
    </row>
    <row r="49" customFormat="false" ht="15" hidden="false" customHeight="false" outlineLevel="0" collapsed="false">
      <c r="B49" s="0" t="s">
        <v>26</v>
      </c>
      <c r="F49" s="10" t="n">
        <f aca="false">E102</f>
        <v>140300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216931.75</v>
      </c>
    </row>
    <row r="55" customFormat="false" ht="15" hidden="false" customHeight="false" outlineLevel="0" collapsed="false">
      <c r="B55" s="0" t="s">
        <v>29</v>
      </c>
      <c r="F55" s="8" t="n">
        <v>6869360.49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6869360.49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104</v>
      </c>
      <c r="J78" s="14" t="n">
        <v>50686.93</v>
      </c>
    </row>
    <row r="79" customFormat="false" ht="15" hidden="false" customHeight="false" outlineLevel="0" collapsed="false">
      <c r="G79" s="0" t="s">
        <v>38</v>
      </c>
      <c r="J79" s="14" t="n">
        <v>83616.35</v>
      </c>
    </row>
    <row r="80" customFormat="false" ht="15" hidden="false" customHeight="false" outlineLevel="0" collapsed="false">
      <c r="G80" s="0" t="s">
        <v>105</v>
      </c>
      <c r="J80" s="14" t="n">
        <v>67184.9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201488.18</v>
      </c>
    </row>
    <row r="91" customFormat="false" ht="15" hidden="false" customHeight="false" outlineLevel="0" collapsed="false">
      <c r="B91" s="11" t="s">
        <v>40</v>
      </c>
      <c r="G91" s="11" t="s">
        <v>41</v>
      </c>
    </row>
    <row r="92" customFormat="false" ht="15" hidden="false" customHeight="false" outlineLevel="0" collapsed="false">
      <c r="B92" s="0" t="s">
        <v>42</v>
      </c>
      <c r="E92" s="14" t="n">
        <v>9800</v>
      </c>
    </row>
    <row r="93" customFormat="false" ht="15" hidden="false" customHeight="false" outlineLevel="0" collapsed="false">
      <c r="B93" s="0" t="s">
        <v>43</v>
      </c>
      <c r="E93" s="14" t="n">
        <v>38500</v>
      </c>
    </row>
    <row r="94" customFormat="false" ht="15" hidden="false" customHeight="false" outlineLevel="0" collapsed="false">
      <c r="B94" s="0" t="s">
        <v>44</v>
      </c>
      <c r="E94" s="14" t="n">
        <v>92000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140300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45</v>
      </c>
      <c r="G105" s="11" t="s">
        <v>46</v>
      </c>
    </row>
    <row r="106" customFormat="false" ht="15" hidden="false" customHeight="false" outlineLevel="0" collapsed="false">
      <c r="B106" s="0" t="s">
        <v>118</v>
      </c>
      <c r="E106" s="14" t="n">
        <v>85751.49</v>
      </c>
    </row>
    <row r="107" customFormat="false" ht="15" hidden="false" customHeight="false" outlineLevel="0" collapsed="false">
      <c r="B107" s="0" t="s">
        <v>119</v>
      </c>
      <c r="E107" s="14" t="n">
        <v>66643.21</v>
      </c>
    </row>
    <row r="108" customFormat="false" ht="15" hidden="false" customHeight="false" outlineLevel="0" collapsed="false">
      <c r="B108" s="0" t="s">
        <v>120</v>
      </c>
      <c r="E108" s="14" t="n">
        <v>64537.05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216931.75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50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51</v>
      </c>
    </row>
    <row r="135" customFormat="false" ht="15" hidden="false" customHeight="false" outlineLevel="0" collapsed="false">
      <c r="G135" s="12" t="s">
        <v>52</v>
      </c>
    </row>
    <row r="136" customFormat="false" ht="15" hidden="false" customHeight="false" outlineLevel="0" collapsed="false">
      <c r="C136" s="0" t="s">
        <v>53</v>
      </c>
      <c r="D136" s="4" t="str">
        <f aca="false">D24</f>
        <v>JANGADA</v>
      </c>
      <c r="G136" s="15" t="s">
        <v>54</v>
      </c>
      <c r="J136" s="8" t="n">
        <v>1023655.31</v>
      </c>
    </row>
    <row r="137" customFormat="false" ht="15" hidden="false" customHeight="false" outlineLevel="0" collapsed="false">
      <c r="C137" s="0" t="s">
        <v>55</v>
      </c>
      <c r="D137" s="10" t="n">
        <f aca="false">J28</f>
        <v>34036640</v>
      </c>
      <c r="G137" s="15" t="s">
        <v>56</v>
      </c>
      <c r="J137" s="8" t="n">
        <v>1066453.21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preliminar</v>
      </c>
      <c r="G138" s="15" t="s">
        <v>57</v>
      </c>
      <c r="J138" s="10" t="n">
        <f aca="false">J137-J136</f>
        <v>42797.8999999999</v>
      </c>
    </row>
    <row r="139" customFormat="false" ht="15" hidden="false" customHeight="false" outlineLevel="0" collapsed="false">
      <c r="C139" s="0" t="s">
        <v>58</v>
      </c>
      <c r="D139" s="16" t="n">
        <f aca="false">E26</f>
        <v>46082</v>
      </c>
      <c r="G139" s="15" t="s">
        <v>59</v>
      </c>
    </row>
    <row r="140" customFormat="false" ht="15" hidden="false" customHeight="false" outlineLevel="0" collapsed="false">
      <c r="C140" s="0" t="s">
        <v>60</v>
      </c>
      <c r="D140" s="17" t="n">
        <f aca="false">F31</f>
        <v>0.0391</v>
      </c>
    </row>
    <row r="141" customFormat="false" ht="15" hidden="false" customHeight="false" outlineLevel="0" collapsed="false">
      <c r="C141" s="0" t="s">
        <v>61</v>
      </c>
      <c r="D141" s="17" t="n">
        <f aca="false">F33</f>
        <v>0.0273</v>
      </c>
    </row>
    <row r="142" customFormat="false" ht="15" hidden="false" customHeight="false" outlineLevel="0" collapsed="false">
      <c r="C142" s="0" t="s">
        <v>62</v>
      </c>
      <c r="D142" s="17" t="n">
        <f aca="false">F35</f>
        <v>0.1888</v>
      </c>
    </row>
    <row r="143" customFormat="false" ht="15" hidden="false" customHeight="false" outlineLevel="0" collapsed="false">
      <c r="C143" s="0" t="s">
        <v>63</v>
      </c>
      <c r="D143" s="17" t="n">
        <f aca="false">F37</f>
        <v>0.1955</v>
      </c>
    </row>
    <row r="145" customFormat="false" ht="15" hidden="false" customHeight="false" outlineLevel="0" collapsed="false">
      <c r="B145" s="0" t="s">
        <v>64</v>
      </c>
      <c r="C145" s="0" t="s">
        <v>65</v>
      </c>
      <c r="D145" s="10" t="n">
        <f aca="false">F39</f>
        <v>6654163.12</v>
      </c>
      <c r="E145" s="18" t="n">
        <f aca="false">D145/$D$137</f>
        <v>0.1955</v>
      </c>
    </row>
    <row r="146" customFormat="false" ht="15" hidden="false" customHeight="false" outlineLevel="0" collapsed="false">
      <c r="B146" s="0" t="s">
        <v>66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67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68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69</v>
      </c>
      <c r="C149" s="0" t="s">
        <v>36</v>
      </c>
      <c r="D149" s="10" t="n">
        <f aca="false">F47</f>
        <v>201488.18</v>
      </c>
      <c r="E149" s="18" t="n">
        <f aca="false">D149/$D$137</f>
        <v>0.00591974354695411</v>
      </c>
    </row>
    <row r="150" customFormat="false" ht="15" hidden="false" customHeight="false" outlineLevel="0" collapsed="false">
      <c r="B150" s="0" t="s">
        <v>70</v>
      </c>
      <c r="C150" s="0" t="s">
        <v>71</v>
      </c>
      <c r="D150" s="10" t="n">
        <f aca="false">F49</f>
        <v>140300</v>
      </c>
      <c r="E150" s="18" t="n">
        <f aca="false">D150/$D$137</f>
        <v>0.00412202849634982</v>
      </c>
    </row>
    <row r="151" customFormat="false" ht="15" hidden="false" customHeight="false" outlineLevel="0" collapsed="false">
      <c r="B151" s="0" t="s">
        <v>72</v>
      </c>
      <c r="C151" s="0" t="s">
        <v>73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74</v>
      </c>
      <c r="C152" s="0" t="s">
        <v>45</v>
      </c>
      <c r="D152" s="10" t="n">
        <f aca="false">F53</f>
        <v>216931.75</v>
      </c>
      <c r="E152" s="18" t="n">
        <f aca="false">D152/$D$137</f>
        <v>0.00637347722924472</v>
      </c>
    </row>
    <row r="153" customFormat="false" ht="15" hidden="false" customHeight="false" outlineLevel="0" collapsed="false">
      <c r="B153" s="0" t="s">
        <v>75</v>
      </c>
      <c r="C153" s="0" t="s">
        <v>76</v>
      </c>
      <c r="D153" s="10" t="n">
        <f aca="false">F56</f>
        <v>6869360.49</v>
      </c>
      <c r="E153" s="18" t="n">
        <f aca="false">D153/$D$137</f>
        <v>0.201822520965642</v>
      </c>
    </row>
    <row r="154" customFormat="false" ht="15" hidden="false" customHeight="false" outlineLevel="0" collapsed="false">
      <c r="B154" s="0" t="s">
        <v>77</v>
      </c>
      <c r="C154" s="0" t="s">
        <v>50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78</v>
      </c>
      <c r="D155" s="13" t="n">
        <f aca="false">D145+D146+D147+D148+D149+D150+D151-D152-D153-D154</f>
        <v>-90340.9400000004</v>
      </c>
      <c r="E155" s="19" t="n">
        <f aca="false">D155/D137</f>
        <v>-0.00265422615158254</v>
      </c>
    </row>
    <row r="156" customFormat="false" ht="15" hidden="false" customHeight="false" outlineLevel="0" collapsed="false">
      <c r="C156" s="0" t="s">
        <v>79</v>
      </c>
      <c r="D156" s="10" t="n">
        <f aca="false">FEV26!D155</f>
        <v>-60374.2300000005</v>
      </c>
      <c r="E156" s="17" t="n">
        <f aca="false">FEV26!E155</f>
        <v>-0.00178109784878988</v>
      </c>
    </row>
    <row r="160" customFormat="false" ht="15" hidden="false" customHeight="false" outlineLevel="0" collapsed="false">
      <c r="B160" s="12" t="s">
        <v>80</v>
      </c>
    </row>
    <row r="162" customFormat="false" ht="15" hidden="false" customHeight="false" outlineLevel="0" collapsed="false">
      <c r="B162" s="12" t="s">
        <v>81</v>
      </c>
    </row>
    <row r="163" customFormat="false" ht="15" hidden="false" customHeight="false" outlineLevel="0" collapsed="false">
      <c r="B163" s="0" t="s">
        <v>82</v>
      </c>
    </row>
    <row r="164" customFormat="false" ht="15" hidden="false" customHeight="false" outlineLevel="0" collapsed="false">
      <c r="B164" s="12" t="s">
        <v>83</v>
      </c>
    </row>
    <row r="165" customFormat="false" ht="15" hidden="false" customHeight="false" outlineLevel="0" collapsed="false">
      <c r="B165" s="0" t="s">
        <v>84</v>
      </c>
    </row>
    <row r="166" customFormat="false" ht="15" hidden="false" customHeight="false" outlineLevel="0" collapsed="false">
      <c r="B166" s="12" t="s">
        <v>85</v>
      </c>
    </row>
    <row r="167" customFormat="false" ht="15" hidden="false" customHeight="false" outlineLevel="0" collapsed="false">
      <c r="B167" s="0" t="s">
        <v>86</v>
      </c>
    </row>
    <row r="168" customFormat="false" ht="15" hidden="false" customHeight="false" outlineLevel="0" collapsed="false">
      <c r="B168" s="12" t="s">
        <v>87</v>
      </c>
    </row>
    <row r="169" customFormat="false" ht="15" hidden="false" customHeight="false" outlineLevel="0" collapsed="false">
      <c r="B169" s="0" t="s">
        <v>88</v>
      </c>
    </row>
    <row r="170" customFormat="false" ht="15" hidden="false" customHeight="false" outlineLevel="0" collapsed="false">
      <c r="B170" s="12" t="s">
        <v>89</v>
      </c>
    </row>
    <row r="171" customFormat="false" ht="15" hidden="false" customHeight="false" outlineLevel="0" collapsed="false">
      <c r="B171" s="0" t="s">
        <v>90</v>
      </c>
    </row>
    <row r="172" customFormat="false" ht="15" hidden="false" customHeight="false" outlineLevel="0" collapsed="false">
      <c r="B172" s="12" t="s">
        <v>91</v>
      </c>
    </row>
    <row r="173" customFormat="false" ht="15" hidden="false" customHeight="false" outlineLevel="0" collapsed="false">
      <c r="B173" s="0" t="s">
        <v>92</v>
      </c>
    </row>
    <row r="174" customFormat="false" ht="15" hidden="false" customHeight="false" outlineLevel="0" collapsed="false">
      <c r="B174" s="12" t="s">
        <v>93</v>
      </c>
    </row>
    <row r="175" customFormat="false" ht="15" hidden="false" customHeight="false" outlineLevel="0" collapsed="false">
      <c r="B175" s="0" t="s">
        <v>94</v>
      </c>
    </row>
    <row r="176" customFormat="false" ht="15" hidden="false" customHeight="false" outlineLevel="0" collapsed="false">
      <c r="B176" s="12" t="s">
        <v>95</v>
      </c>
    </row>
    <row r="177" customFormat="false" ht="15" hidden="false" customHeight="false" outlineLevel="0" collapsed="false">
      <c r="B177" s="0" t="s">
        <v>96</v>
      </c>
    </row>
    <row r="178" customFormat="false" ht="15" hidden="false" customHeight="false" outlineLevel="0" collapsed="false">
      <c r="B178" s="12" t="s">
        <v>97</v>
      </c>
    </row>
    <row r="179" customFormat="false" ht="15" hidden="false" customHeight="false" outlineLevel="0" collapsed="false">
      <c r="B179" s="0" t="s">
        <v>98</v>
      </c>
    </row>
    <row r="180" customFormat="false" ht="15" hidden="false" customHeight="false" outlineLevel="0" collapsed="false">
      <c r="B180" s="12" t="s">
        <v>99</v>
      </c>
    </row>
    <row r="181" customFormat="false" ht="15" hidden="false" customHeight="false" outlineLevel="0" collapsed="false">
      <c r="B181" s="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46113</v>
      </c>
    </row>
    <row r="28" customFormat="false" ht="15" hidden="false" customHeight="false" outlineLevel="0" collapsed="false">
      <c r="B28" s="0" t="s">
        <v>14</v>
      </c>
      <c r="J28" s="8" t="n">
        <v>34176080</v>
      </c>
    </row>
    <row r="29" customFormat="false" ht="15" hidden="false" customHeight="false" outlineLevel="0" collapsed="false">
      <c r="B29" s="0" t="s">
        <v>15</v>
      </c>
      <c r="J29" s="3" t="s">
        <v>121</v>
      </c>
    </row>
    <row r="31" customFormat="false" ht="15" hidden="false" customHeight="false" outlineLevel="0" collapsed="false">
      <c r="B31" s="0" t="s">
        <v>17</v>
      </c>
      <c r="F31" s="9" t="n">
        <v>0.0414</v>
      </c>
    </row>
    <row r="33" customFormat="false" ht="15" hidden="false" customHeight="false" outlineLevel="0" collapsed="false">
      <c r="B33" s="0" t="s">
        <v>18</v>
      </c>
      <c r="F33" s="9" t="n">
        <v>0.0218</v>
      </c>
    </row>
    <row r="35" customFormat="false" ht="15" hidden="false" customHeight="false" outlineLevel="0" collapsed="false">
      <c r="B35" s="0" t="s">
        <v>19</v>
      </c>
      <c r="F35" s="9" t="n">
        <v>0.2733</v>
      </c>
    </row>
    <row r="37" customFormat="false" ht="15" hidden="false" customHeight="false" outlineLevel="0" collapsed="false">
      <c r="B37" s="0" t="s">
        <v>20</v>
      </c>
      <c r="F37" s="9" t="n">
        <v>0.2173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7426462.184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370866.65</v>
      </c>
    </row>
    <row r="49" customFormat="false" ht="15" hidden="false" customHeight="false" outlineLevel="0" collapsed="false">
      <c r="B49" s="0" t="s">
        <v>26</v>
      </c>
      <c r="F49" s="10" t="n">
        <f aca="false">E102</f>
        <v>140300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165402.26</v>
      </c>
    </row>
    <row r="55" customFormat="false" ht="15" hidden="false" customHeight="false" outlineLevel="0" collapsed="false">
      <c r="B55" s="0" t="s">
        <v>29</v>
      </c>
      <c r="F55" s="8" t="n">
        <v>7885363.23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7885363.23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122</v>
      </c>
      <c r="J78" s="14" t="n">
        <v>107944.99</v>
      </c>
    </row>
    <row r="79" customFormat="false" ht="15" hidden="false" customHeight="false" outlineLevel="0" collapsed="false">
      <c r="G79" s="0" t="s">
        <v>123</v>
      </c>
      <c r="J79" s="14" t="n">
        <v>105363.77</v>
      </c>
    </row>
    <row r="80" customFormat="false" ht="15" hidden="false" customHeight="false" outlineLevel="0" collapsed="false">
      <c r="G80" s="0" t="s">
        <v>124</v>
      </c>
      <c r="J80" s="14" t="n">
        <v>100036.04</v>
      </c>
    </row>
    <row r="81" customFormat="false" ht="15" hidden="false" customHeight="false" outlineLevel="0" collapsed="false">
      <c r="G81" s="0" t="s">
        <v>125</v>
      </c>
      <c r="J81" s="14" t="n">
        <v>57521.85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370866.65</v>
      </c>
    </row>
    <row r="91" customFormat="false" ht="15" hidden="false" customHeight="false" outlineLevel="0" collapsed="false">
      <c r="B91" s="11" t="s">
        <v>40</v>
      </c>
      <c r="G91" s="11" t="s">
        <v>41</v>
      </c>
    </row>
    <row r="92" customFormat="false" ht="15" hidden="false" customHeight="false" outlineLevel="0" collapsed="false">
      <c r="B92" s="0" t="s">
        <v>42</v>
      </c>
      <c r="E92" s="14" t="n">
        <v>9800</v>
      </c>
    </row>
    <row r="93" customFormat="false" ht="15" hidden="false" customHeight="false" outlineLevel="0" collapsed="false">
      <c r="B93" s="0" t="s">
        <v>43</v>
      </c>
      <c r="E93" s="14" t="n">
        <v>38500</v>
      </c>
    </row>
    <row r="94" customFormat="false" ht="15" hidden="false" customHeight="false" outlineLevel="0" collapsed="false">
      <c r="B94" s="0" t="s">
        <v>44</v>
      </c>
      <c r="E94" s="14" t="n">
        <v>92000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140300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45</v>
      </c>
      <c r="G105" s="11" t="s">
        <v>46</v>
      </c>
    </row>
    <row r="106" customFormat="false" ht="15" hidden="false" customHeight="false" outlineLevel="0" collapsed="false">
      <c r="B106" s="0" t="s">
        <v>126</v>
      </c>
      <c r="E106" s="14" t="n">
        <v>46146.39</v>
      </c>
    </row>
    <row r="107" customFormat="false" ht="15" hidden="false" customHeight="false" outlineLevel="0" collapsed="false">
      <c r="B107" s="0" t="s">
        <v>127</v>
      </c>
      <c r="E107" s="14" t="n">
        <v>50468.83</v>
      </c>
    </row>
    <row r="108" customFormat="false" ht="15" hidden="false" customHeight="false" outlineLevel="0" collapsed="false">
      <c r="B108" s="0" t="s">
        <v>128</v>
      </c>
      <c r="E108" s="14" t="n">
        <v>37418.85</v>
      </c>
    </row>
    <row r="109" customFormat="false" ht="15" hidden="false" customHeight="false" outlineLevel="0" collapsed="false">
      <c r="B109" s="0" t="s">
        <v>129</v>
      </c>
      <c r="E109" s="14" t="n">
        <v>31368.19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165402.26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50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51</v>
      </c>
    </row>
    <row r="135" customFormat="false" ht="15" hidden="false" customHeight="false" outlineLevel="0" collapsed="false">
      <c r="G135" s="12" t="s">
        <v>52</v>
      </c>
    </row>
    <row r="136" customFormat="false" ht="15" hidden="false" customHeight="false" outlineLevel="0" collapsed="false">
      <c r="C136" s="0" t="s">
        <v>53</v>
      </c>
      <c r="D136" s="4" t="str">
        <f aca="false">D24</f>
        <v>JANGADA</v>
      </c>
      <c r="G136" s="15" t="s">
        <v>54</v>
      </c>
      <c r="J136" s="8" t="n">
        <v>1000777.17</v>
      </c>
    </row>
    <row r="137" customFormat="false" ht="15" hidden="false" customHeight="false" outlineLevel="0" collapsed="false">
      <c r="C137" s="0" t="s">
        <v>55</v>
      </c>
      <c r="D137" s="10" t="n">
        <f aca="false">J28</f>
        <v>34176080</v>
      </c>
      <c r="G137" s="15" t="s">
        <v>56</v>
      </c>
      <c r="J137" s="8" t="n">
        <v>1016002.74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57</v>
      </c>
      <c r="J138" s="10" t="n">
        <f aca="false">J137-J136</f>
        <v>15225.5699999999</v>
      </c>
    </row>
    <row r="139" customFormat="false" ht="15" hidden="false" customHeight="false" outlineLevel="0" collapsed="false">
      <c r="C139" s="0" t="s">
        <v>58</v>
      </c>
      <c r="D139" s="16" t="n">
        <f aca="false">E26</f>
        <v>46113</v>
      </c>
      <c r="G139" s="15" t="s">
        <v>59</v>
      </c>
    </row>
    <row r="140" customFormat="false" ht="15" hidden="false" customHeight="false" outlineLevel="0" collapsed="false">
      <c r="C140" s="0" t="s">
        <v>60</v>
      </c>
      <c r="D140" s="17" t="n">
        <f aca="false">F31</f>
        <v>0.0414</v>
      </c>
    </row>
    <row r="141" customFormat="false" ht="15" hidden="false" customHeight="false" outlineLevel="0" collapsed="false">
      <c r="C141" s="0" t="s">
        <v>61</v>
      </c>
      <c r="D141" s="17" t="n">
        <f aca="false">F33</f>
        <v>0.0218</v>
      </c>
    </row>
    <row r="142" customFormat="false" ht="15" hidden="false" customHeight="false" outlineLevel="0" collapsed="false">
      <c r="C142" s="0" t="s">
        <v>62</v>
      </c>
      <c r="D142" s="17" t="n">
        <f aca="false">F35</f>
        <v>0.2733</v>
      </c>
    </row>
    <row r="143" customFormat="false" ht="15" hidden="false" customHeight="false" outlineLevel="0" collapsed="false">
      <c r="C143" s="0" t="s">
        <v>63</v>
      </c>
      <c r="D143" s="17" t="n">
        <f aca="false">F37</f>
        <v>0.2173</v>
      </c>
    </row>
    <row r="145" customFormat="false" ht="15" hidden="false" customHeight="false" outlineLevel="0" collapsed="false">
      <c r="B145" s="0" t="s">
        <v>64</v>
      </c>
      <c r="C145" s="0" t="s">
        <v>65</v>
      </c>
      <c r="D145" s="10" t="n">
        <f aca="false">F39</f>
        <v>7426462.184</v>
      </c>
      <c r="E145" s="18" t="n">
        <f aca="false">D145/$D$137</f>
        <v>0.2173</v>
      </c>
    </row>
    <row r="146" customFormat="false" ht="15" hidden="false" customHeight="false" outlineLevel="0" collapsed="false">
      <c r="B146" s="0" t="s">
        <v>66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67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68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69</v>
      </c>
      <c r="C149" s="0" t="s">
        <v>36</v>
      </c>
      <c r="D149" s="10" t="n">
        <f aca="false">F47</f>
        <v>370866.65</v>
      </c>
      <c r="E149" s="18" t="n">
        <f aca="false">D149/$D$137</f>
        <v>0.0108516438983055</v>
      </c>
    </row>
    <row r="150" customFormat="false" ht="15" hidden="false" customHeight="false" outlineLevel="0" collapsed="false">
      <c r="B150" s="0" t="s">
        <v>70</v>
      </c>
      <c r="C150" s="0" t="s">
        <v>71</v>
      </c>
      <c r="D150" s="10" t="n">
        <f aca="false">F49</f>
        <v>140300</v>
      </c>
      <c r="E150" s="18" t="n">
        <f aca="false">D150/$D$137</f>
        <v>0.00410521042787821</v>
      </c>
    </row>
    <row r="151" customFormat="false" ht="15" hidden="false" customHeight="false" outlineLevel="0" collapsed="false">
      <c r="B151" s="0" t="s">
        <v>72</v>
      </c>
      <c r="C151" s="0" t="s">
        <v>73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74</v>
      </c>
      <c r="C152" s="0" t="s">
        <v>45</v>
      </c>
      <c r="D152" s="10" t="n">
        <f aca="false">F53</f>
        <v>165402.26</v>
      </c>
      <c r="E152" s="18" t="n">
        <f aca="false">D152/$D$137</f>
        <v>0.00483970835742426</v>
      </c>
    </row>
    <row r="153" customFormat="false" ht="15" hidden="false" customHeight="false" outlineLevel="0" collapsed="false">
      <c r="B153" s="0" t="s">
        <v>75</v>
      </c>
      <c r="C153" s="0" t="s">
        <v>76</v>
      </c>
      <c r="D153" s="10" t="n">
        <f aca="false">F56</f>
        <v>7885363.23</v>
      </c>
      <c r="E153" s="18" t="n">
        <f aca="false">D153/$D$137</f>
        <v>0.230727550672868</v>
      </c>
    </row>
    <row r="154" customFormat="false" ht="15" hidden="false" customHeight="false" outlineLevel="0" collapsed="false">
      <c r="B154" s="0" t="s">
        <v>77</v>
      </c>
      <c r="C154" s="0" t="s">
        <v>50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78</v>
      </c>
      <c r="D155" s="13" t="n">
        <f aca="false">D145+D146+D147+D148+D149+D150+D151-D152-D153-D154</f>
        <v>-113136.656</v>
      </c>
      <c r="E155" s="19" t="n">
        <f aca="false">D155/D137</f>
        <v>-0.00331040470410885</v>
      </c>
    </row>
    <row r="156" customFormat="false" ht="15" hidden="false" customHeight="false" outlineLevel="0" collapsed="false">
      <c r="C156" s="0" t="s">
        <v>79</v>
      </c>
      <c r="D156" s="10" t="n">
        <f aca="false">MAR26!D155</f>
        <v>-90340.9400000004</v>
      </c>
      <c r="E156" s="17" t="n">
        <f aca="false">MAR26!E155</f>
        <v>-0.00265422615158254</v>
      </c>
    </row>
    <row r="160" customFormat="false" ht="15" hidden="false" customHeight="false" outlineLevel="0" collapsed="false">
      <c r="B160" s="12" t="s">
        <v>80</v>
      </c>
    </row>
    <row r="162" customFormat="false" ht="15" hidden="false" customHeight="false" outlineLevel="0" collapsed="false">
      <c r="B162" s="12" t="s">
        <v>81</v>
      </c>
    </row>
    <row r="163" customFormat="false" ht="15" hidden="false" customHeight="false" outlineLevel="0" collapsed="false">
      <c r="B163" s="0" t="s">
        <v>82</v>
      </c>
    </row>
    <row r="164" customFormat="false" ht="15" hidden="false" customHeight="false" outlineLevel="0" collapsed="false">
      <c r="B164" s="12" t="s">
        <v>83</v>
      </c>
    </row>
    <row r="165" customFormat="false" ht="15" hidden="false" customHeight="false" outlineLevel="0" collapsed="false">
      <c r="B165" s="0" t="s">
        <v>84</v>
      </c>
    </row>
    <row r="166" customFormat="false" ht="15" hidden="false" customHeight="false" outlineLevel="0" collapsed="false">
      <c r="B166" s="12" t="s">
        <v>85</v>
      </c>
    </row>
    <row r="167" customFormat="false" ht="15" hidden="false" customHeight="false" outlineLevel="0" collapsed="false">
      <c r="B167" s="0" t="s">
        <v>86</v>
      </c>
    </row>
    <row r="168" customFormat="false" ht="15" hidden="false" customHeight="false" outlineLevel="0" collapsed="false">
      <c r="B168" s="12" t="s">
        <v>87</v>
      </c>
    </row>
    <row r="169" customFormat="false" ht="15" hidden="false" customHeight="false" outlineLevel="0" collapsed="false">
      <c r="B169" s="0" t="s">
        <v>88</v>
      </c>
    </row>
    <row r="170" customFormat="false" ht="15" hidden="false" customHeight="false" outlineLevel="0" collapsed="false">
      <c r="B170" s="12" t="s">
        <v>89</v>
      </c>
    </row>
    <row r="171" customFormat="false" ht="15" hidden="false" customHeight="false" outlineLevel="0" collapsed="false">
      <c r="B171" s="0" t="s">
        <v>90</v>
      </c>
    </row>
    <row r="172" customFormat="false" ht="15" hidden="false" customHeight="false" outlineLevel="0" collapsed="false">
      <c r="B172" s="12" t="s">
        <v>91</v>
      </c>
    </row>
    <row r="173" customFormat="false" ht="15" hidden="false" customHeight="false" outlineLevel="0" collapsed="false">
      <c r="B173" s="0" t="s">
        <v>92</v>
      </c>
    </row>
    <row r="174" customFormat="false" ht="15" hidden="false" customHeight="false" outlineLevel="0" collapsed="false">
      <c r="B174" s="12" t="s">
        <v>93</v>
      </c>
    </row>
    <row r="175" customFormat="false" ht="15" hidden="false" customHeight="false" outlineLevel="0" collapsed="false">
      <c r="B175" s="0" t="s">
        <v>94</v>
      </c>
    </row>
    <row r="176" customFormat="false" ht="15" hidden="false" customHeight="false" outlineLevel="0" collapsed="false">
      <c r="B176" s="12" t="s">
        <v>95</v>
      </c>
    </row>
    <row r="177" customFormat="false" ht="15" hidden="false" customHeight="false" outlineLevel="0" collapsed="false">
      <c r="B177" s="0" t="s">
        <v>96</v>
      </c>
    </row>
    <row r="178" customFormat="false" ht="15" hidden="false" customHeight="false" outlineLevel="0" collapsed="false">
      <c r="B178" s="12" t="s">
        <v>97</v>
      </c>
    </row>
    <row r="179" customFormat="false" ht="15" hidden="false" customHeight="false" outlineLevel="0" collapsed="false">
      <c r="B179" s="0" t="s">
        <v>98</v>
      </c>
    </row>
    <row r="180" customFormat="false" ht="15" hidden="false" customHeight="false" outlineLevel="0" collapsed="false">
      <c r="B180" s="12" t="s">
        <v>99</v>
      </c>
    </row>
    <row r="181" customFormat="false" ht="15" hidden="false" customHeight="false" outlineLevel="0" collapsed="false">
      <c r="B181" s="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46143</v>
      </c>
    </row>
    <row r="28" customFormat="false" ht="15" hidden="false" customHeight="false" outlineLevel="0" collapsed="false">
      <c r="B28" s="0" t="s">
        <v>14</v>
      </c>
      <c r="J28" s="8" t="n">
        <v>34315520</v>
      </c>
    </row>
    <row r="29" customFormat="false" ht="15" hidden="false" customHeight="false" outlineLevel="0" collapsed="false">
      <c r="B29" s="0" t="s">
        <v>15</v>
      </c>
      <c r="J29" s="3" t="s">
        <v>121</v>
      </c>
    </row>
    <row r="31" customFormat="false" ht="15" hidden="false" customHeight="false" outlineLevel="0" collapsed="false">
      <c r="B31" s="0" t="s">
        <v>17</v>
      </c>
      <c r="F31" s="9" t="n">
        <v>0.0431</v>
      </c>
    </row>
    <row r="33" customFormat="false" ht="15" hidden="false" customHeight="false" outlineLevel="0" collapsed="false">
      <c r="B33" s="0" t="s">
        <v>18</v>
      </c>
      <c r="F33" s="9" t="n">
        <v>0.0308</v>
      </c>
    </row>
    <row r="35" customFormat="false" ht="15" hidden="false" customHeight="false" outlineLevel="0" collapsed="false">
      <c r="B35" s="0" t="s">
        <v>19</v>
      </c>
      <c r="F35" s="9" t="n">
        <v>0.3164</v>
      </c>
    </row>
    <row r="37" customFormat="false" ht="15" hidden="false" customHeight="false" outlineLevel="0" collapsed="false">
      <c r="B37" s="0" t="s">
        <v>20</v>
      </c>
      <c r="F37" s="9" t="n">
        <v>0.2481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8513680.512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328717.28</v>
      </c>
    </row>
    <row r="49" customFormat="false" ht="15" hidden="false" customHeight="false" outlineLevel="0" collapsed="false">
      <c r="B49" s="0" t="s">
        <v>26</v>
      </c>
      <c r="F49" s="10" t="n">
        <f aca="false">E102</f>
        <v>140300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216078.38</v>
      </c>
    </row>
    <row r="55" customFormat="false" ht="15" hidden="false" customHeight="false" outlineLevel="0" collapsed="false">
      <c r="B55" s="0" t="s">
        <v>29</v>
      </c>
      <c r="F55" s="8" t="n">
        <v>8912308.68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8912308.68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122</v>
      </c>
      <c r="J78" s="14" t="n">
        <v>95867.95</v>
      </c>
    </row>
    <row r="79" customFormat="false" ht="15" hidden="false" customHeight="false" outlineLevel="0" collapsed="false">
      <c r="G79" s="0" t="s">
        <v>123</v>
      </c>
      <c r="J79" s="14" t="n">
        <v>94587.21</v>
      </c>
    </row>
    <row r="80" customFormat="false" ht="15" hidden="false" customHeight="false" outlineLevel="0" collapsed="false">
      <c r="G80" s="0" t="s">
        <v>124</v>
      </c>
      <c r="J80" s="14" t="n">
        <v>66306.84</v>
      </c>
    </row>
    <row r="81" customFormat="false" ht="15" hidden="false" customHeight="false" outlineLevel="0" collapsed="false">
      <c r="G81" s="0" t="s">
        <v>125</v>
      </c>
      <c r="J81" s="14" t="n">
        <v>71955.28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328717.28</v>
      </c>
    </row>
    <row r="91" customFormat="false" ht="15" hidden="false" customHeight="false" outlineLevel="0" collapsed="false">
      <c r="B91" s="11" t="s">
        <v>40</v>
      </c>
      <c r="G91" s="11" t="s">
        <v>41</v>
      </c>
    </row>
    <row r="92" customFormat="false" ht="15" hidden="false" customHeight="false" outlineLevel="0" collapsed="false">
      <c r="B92" s="0" t="s">
        <v>42</v>
      </c>
      <c r="E92" s="14" t="n">
        <v>9800</v>
      </c>
    </row>
    <row r="93" customFormat="false" ht="15" hidden="false" customHeight="false" outlineLevel="0" collapsed="false">
      <c r="B93" s="0" t="s">
        <v>43</v>
      </c>
      <c r="E93" s="14" t="n">
        <v>38500</v>
      </c>
    </row>
    <row r="94" customFormat="false" ht="15" hidden="false" customHeight="false" outlineLevel="0" collapsed="false">
      <c r="B94" s="0" t="s">
        <v>44</v>
      </c>
      <c r="E94" s="14" t="n">
        <v>92000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140300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45</v>
      </c>
      <c r="G105" s="11" t="s">
        <v>46</v>
      </c>
    </row>
    <row r="106" customFormat="false" ht="15" hidden="false" customHeight="false" outlineLevel="0" collapsed="false">
      <c r="B106" s="0" t="s">
        <v>130</v>
      </c>
      <c r="E106" s="14" t="n">
        <v>35591.08</v>
      </c>
    </row>
    <row r="107" customFormat="false" ht="15" hidden="false" customHeight="false" outlineLevel="0" collapsed="false">
      <c r="B107" s="0" t="s">
        <v>131</v>
      </c>
      <c r="E107" s="14" t="n">
        <v>61494.32</v>
      </c>
    </row>
    <row r="108" customFormat="false" ht="15" hidden="false" customHeight="false" outlineLevel="0" collapsed="false">
      <c r="B108" s="0" t="s">
        <v>132</v>
      </c>
      <c r="E108" s="14" t="n">
        <v>58499.21</v>
      </c>
    </row>
    <row r="109" customFormat="false" ht="15" hidden="false" customHeight="false" outlineLevel="0" collapsed="false">
      <c r="B109" s="0" t="s">
        <v>133</v>
      </c>
      <c r="E109" s="14" t="n">
        <v>60493.77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216078.38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50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51</v>
      </c>
    </row>
    <row r="135" customFormat="false" ht="15" hidden="false" customHeight="false" outlineLevel="0" collapsed="false">
      <c r="G135" s="12" t="s">
        <v>52</v>
      </c>
    </row>
    <row r="136" customFormat="false" ht="15" hidden="false" customHeight="false" outlineLevel="0" collapsed="false">
      <c r="C136" s="0" t="s">
        <v>53</v>
      </c>
      <c r="D136" s="4" t="str">
        <f aca="false">D24</f>
        <v>JANGADA</v>
      </c>
      <c r="G136" s="15" t="s">
        <v>54</v>
      </c>
      <c r="J136" s="8" t="n">
        <v>1043280.92</v>
      </c>
    </row>
    <row r="137" customFormat="false" ht="15" hidden="false" customHeight="false" outlineLevel="0" collapsed="false">
      <c r="C137" s="0" t="s">
        <v>55</v>
      </c>
      <c r="D137" s="10" t="n">
        <f aca="false">J28</f>
        <v>34315520</v>
      </c>
      <c r="G137" s="15" t="s">
        <v>56</v>
      </c>
      <c r="J137" s="8" t="n">
        <v>1026945.45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57</v>
      </c>
      <c r="J138" s="10" t="n">
        <f aca="false">J137-J136</f>
        <v>-16335.4700000001</v>
      </c>
    </row>
    <row r="139" customFormat="false" ht="15" hidden="false" customHeight="false" outlineLevel="0" collapsed="false">
      <c r="C139" s="0" t="s">
        <v>58</v>
      </c>
      <c r="D139" s="16" t="n">
        <f aca="false">E26</f>
        <v>46143</v>
      </c>
      <c r="G139" s="15" t="s">
        <v>59</v>
      </c>
    </row>
    <row r="140" customFormat="false" ht="15" hidden="false" customHeight="false" outlineLevel="0" collapsed="false">
      <c r="C140" s="0" t="s">
        <v>60</v>
      </c>
      <c r="D140" s="17" t="n">
        <f aca="false">F31</f>
        <v>0.0431</v>
      </c>
    </row>
    <row r="141" customFormat="false" ht="15" hidden="false" customHeight="false" outlineLevel="0" collapsed="false">
      <c r="C141" s="0" t="s">
        <v>61</v>
      </c>
      <c r="D141" s="17" t="n">
        <f aca="false">F33</f>
        <v>0.0308</v>
      </c>
    </row>
    <row r="142" customFormat="false" ht="15" hidden="false" customHeight="false" outlineLevel="0" collapsed="false">
      <c r="C142" s="0" t="s">
        <v>62</v>
      </c>
      <c r="D142" s="17" t="n">
        <f aca="false">F35</f>
        <v>0.3164</v>
      </c>
    </row>
    <row r="143" customFormat="false" ht="15" hidden="false" customHeight="false" outlineLevel="0" collapsed="false">
      <c r="C143" s="0" t="s">
        <v>63</v>
      </c>
      <c r="D143" s="17" t="n">
        <f aca="false">F37</f>
        <v>0.2481</v>
      </c>
    </row>
    <row r="145" customFormat="false" ht="15" hidden="false" customHeight="false" outlineLevel="0" collapsed="false">
      <c r="B145" s="0" t="s">
        <v>64</v>
      </c>
      <c r="C145" s="0" t="s">
        <v>65</v>
      </c>
      <c r="D145" s="10" t="n">
        <f aca="false">F39</f>
        <v>8513680.512</v>
      </c>
      <c r="E145" s="18" t="n">
        <f aca="false">D145/$D$137</f>
        <v>0.2481</v>
      </c>
    </row>
    <row r="146" customFormat="false" ht="15" hidden="false" customHeight="false" outlineLevel="0" collapsed="false">
      <c r="B146" s="0" t="s">
        <v>66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67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68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69</v>
      </c>
      <c r="C149" s="0" t="s">
        <v>36</v>
      </c>
      <c r="D149" s="10" t="n">
        <f aca="false">F47</f>
        <v>328717.28</v>
      </c>
      <c r="E149" s="18" t="n">
        <f aca="false">D149/$D$137</f>
        <v>0.00957925976351226</v>
      </c>
    </row>
    <row r="150" customFormat="false" ht="15" hidden="false" customHeight="false" outlineLevel="0" collapsed="false">
      <c r="B150" s="0" t="s">
        <v>70</v>
      </c>
      <c r="C150" s="0" t="s">
        <v>71</v>
      </c>
      <c r="D150" s="10" t="n">
        <f aca="false">F49</f>
        <v>140300</v>
      </c>
      <c r="E150" s="18" t="n">
        <f aca="false">D150/$D$137</f>
        <v>0.00408852903875564</v>
      </c>
    </row>
    <row r="151" customFormat="false" ht="15" hidden="false" customHeight="false" outlineLevel="0" collapsed="false">
      <c r="B151" s="0" t="s">
        <v>72</v>
      </c>
      <c r="C151" s="0" t="s">
        <v>73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74</v>
      </c>
      <c r="C152" s="0" t="s">
        <v>45</v>
      </c>
      <c r="D152" s="10" t="n">
        <f aca="false">F53</f>
        <v>216078.38</v>
      </c>
      <c r="E152" s="18" t="n">
        <f aca="false">D152/$D$137</f>
        <v>0.00629681205472043</v>
      </c>
    </row>
    <row r="153" customFormat="false" ht="15" hidden="false" customHeight="false" outlineLevel="0" collapsed="false">
      <c r="B153" s="0" t="s">
        <v>75</v>
      </c>
      <c r="C153" s="0" t="s">
        <v>76</v>
      </c>
      <c r="D153" s="10" t="n">
        <f aca="false">F56</f>
        <v>8912308.68</v>
      </c>
      <c r="E153" s="18" t="n">
        <f aca="false">D153/$D$137</f>
        <v>0.259716556240442</v>
      </c>
    </row>
    <row r="154" customFormat="false" ht="15" hidden="false" customHeight="false" outlineLevel="0" collapsed="false">
      <c r="B154" s="0" t="s">
        <v>77</v>
      </c>
      <c r="C154" s="0" t="s">
        <v>50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78</v>
      </c>
      <c r="D155" s="13" t="n">
        <f aca="false">D145+D146+D147+D148+D149+D150+D151-D152-D153-D154</f>
        <v>-145689.268000001</v>
      </c>
      <c r="E155" s="19" t="n">
        <f aca="false">D155/D137</f>
        <v>-0.00424557949289421</v>
      </c>
    </row>
    <row r="156" customFormat="false" ht="15" hidden="false" customHeight="false" outlineLevel="0" collapsed="false">
      <c r="C156" s="0" t="s">
        <v>79</v>
      </c>
      <c r="D156" s="10" t="n">
        <f aca="false">ABR26!D155</f>
        <v>-113136.656</v>
      </c>
      <c r="E156" s="17" t="n">
        <f aca="false">ABR26!E155</f>
        <v>-0.00331040470410885</v>
      </c>
    </row>
    <row r="160" customFormat="false" ht="15" hidden="false" customHeight="false" outlineLevel="0" collapsed="false">
      <c r="B160" s="12" t="s">
        <v>80</v>
      </c>
    </row>
    <row r="162" customFormat="false" ht="15" hidden="false" customHeight="false" outlineLevel="0" collapsed="false">
      <c r="B162" s="12" t="s">
        <v>81</v>
      </c>
    </row>
    <row r="163" customFormat="false" ht="15" hidden="false" customHeight="false" outlineLevel="0" collapsed="false">
      <c r="B163" s="0" t="s">
        <v>82</v>
      </c>
    </row>
    <row r="164" customFormat="false" ht="15" hidden="false" customHeight="false" outlineLevel="0" collapsed="false">
      <c r="B164" s="12" t="s">
        <v>83</v>
      </c>
    </row>
    <row r="165" customFormat="false" ht="15" hidden="false" customHeight="false" outlineLevel="0" collapsed="false">
      <c r="B165" s="0" t="s">
        <v>84</v>
      </c>
    </row>
    <row r="166" customFormat="false" ht="15" hidden="false" customHeight="false" outlineLevel="0" collapsed="false">
      <c r="B166" s="12" t="s">
        <v>85</v>
      </c>
    </row>
    <row r="167" customFormat="false" ht="15" hidden="false" customHeight="false" outlineLevel="0" collapsed="false">
      <c r="B167" s="0" t="s">
        <v>86</v>
      </c>
    </row>
    <row r="168" customFormat="false" ht="15" hidden="false" customHeight="false" outlineLevel="0" collapsed="false">
      <c r="B168" s="12" t="s">
        <v>87</v>
      </c>
    </row>
    <row r="169" customFormat="false" ht="15" hidden="false" customHeight="false" outlineLevel="0" collapsed="false">
      <c r="B169" s="0" t="s">
        <v>88</v>
      </c>
    </row>
    <row r="170" customFormat="false" ht="15" hidden="false" customHeight="false" outlineLevel="0" collapsed="false">
      <c r="B170" s="12" t="s">
        <v>89</v>
      </c>
    </row>
    <row r="171" customFormat="false" ht="15" hidden="false" customHeight="false" outlineLevel="0" collapsed="false">
      <c r="B171" s="0" t="s">
        <v>90</v>
      </c>
    </row>
    <row r="172" customFormat="false" ht="15" hidden="false" customHeight="false" outlineLevel="0" collapsed="false">
      <c r="B172" s="12" t="s">
        <v>91</v>
      </c>
    </row>
    <row r="173" customFormat="false" ht="15" hidden="false" customHeight="false" outlineLevel="0" collapsed="false">
      <c r="B173" s="0" t="s">
        <v>92</v>
      </c>
    </row>
    <row r="174" customFormat="false" ht="15" hidden="false" customHeight="false" outlineLevel="0" collapsed="false">
      <c r="B174" s="12" t="s">
        <v>93</v>
      </c>
    </row>
    <row r="175" customFormat="false" ht="15" hidden="false" customHeight="false" outlineLevel="0" collapsed="false">
      <c r="B175" s="0" t="s">
        <v>94</v>
      </c>
    </row>
    <row r="176" customFormat="false" ht="15" hidden="false" customHeight="false" outlineLevel="0" collapsed="false">
      <c r="B176" s="12" t="s">
        <v>95</v>
      </c>
    </row>
    <row r="177" customFormat="false" ht="15" hidden="false" customHeight="false" outlineLevel="0" collapsed="false">
      <c r="B177" s="0" t="s">
        <v>96</v>
      </c>
    </row>
    <row r="178" customFormat="false" ht="15" hidden="false" customHeight="false" outlineLevel="0" collapsed="false">
      <c r="B178" s="12" t="s">
        <v>97</v>
      </c>
    </row>
    <row r="179" customFormat="false" ht="15" hidden="false" customHeight="false" outlineLevel="0" collapsed="false">
      <c r="B179" s="0" t="s">
        <v>98</v>
      </c>
    </row>
    <row r="180" customFormat="false" ht="15" hidden="false" customHeight="false" outlineLevel="0" collapsed="false">
      <c r="B180" s="12" t="s">
        <v>99</v>
      </c>
    </row>
    <row r="181" customFormat="false" ht="15" hidden="false" customHeight="false" outlineLevel="0" collapsed="false">
      <c r="B181" s="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46174</v>
      </c>
    </row>
    <row r="28" customFormat="false" ht="15" hidden="false" customHeight="false" outlineLevel="0" collapsed="false">
      <c r="B28" s="0" t="s">
        <v>14</v>
      </c>
      <c r="J28" s="8" t="n">
        <v>34454960</v>
      </c>
    </row>
    <row r="29" customFormat="false" ht="15" hidden="false" customHeight="false" outlineLevel="0" collapsed="false">
      <c r="B29" s="0" t="s">
        <v>15</v>
      </c>
      <c r="J29" s="3" t="s">
        <v>121</v>
      </c>
    </row>
    <row r="31" customFormat="false" ht="15" hidden="false" customHeight="false" outlineLevel="0" collapsed="false">
      <c r="B31" s="0" t="s">
        <v>17</v>
      </c>
      <c r="F31" s="9" t="n">
        <v>0.0446</v>
      </c>
    </row>
    <row r="33" customFormat="false" ht="15" hidden="false" customHeight="false" outlineLevel="0" collapsed="false">
      <c r="B33" s="0" t="s">
        <v>18</v>
      </c>
      <c r="F33" s="9" t="n">
        <v>0.0332</v>
      </c>
    </row>
    <row r="35" customFormat="false" ht="15" hidden="false" customHeight="false" outlineLevel="0" collapsed="false">
      <c r="B35" s="0" t="s">
        <v>19</v>
      </c>
      <c r="F35" s="9" t="n">
        <v>0.361</v>
      </c>
    </row>
    <row r="37" customFormat="false" ht="15" hidden="false" customHeight="false" outlineLevel="0" collapsed="false">
      <c r="B37" s="0" t="s">
        <v>20</v>
      </c>
      <c r="F37" s="9" t="n">
        <v>0.2813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9692180.248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0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281002.63</v>
      </c>
    </row>
    <row r="49" customFormat="false" ht="15" hidden="false" customHeight="false" outlineLevel="0" collapsed="false">
      <c r="B49" s="0" t="s">
        <v>26</v>
      </c>
      <c r="F49" s="10" t="n">
        <f aca="false">E102</f>
        <v>140300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227847.43</v>
      </c>
    </row>
    <row r="55" customFormat="false" ht="15" hidden="false" customHeight="false" outlineLevel="0" collapsed="false">
      <c r="B55" s="0" t="s">
        <v>29</v>
      </c>
      <c r="F55" s="8" t="n">
        <v>10088888.1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10065738.1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G78" s="0" t="s">
        <v>122</v>
      </c>
      <c r="J78" s="14" t="n">
        <v>51136.62</v>
      </c>
    </row>
    <row r="79" customFormat="false" ht="15" hidden="false" customHeight="false" outlineLevel="0" collapsed="false">
      <c r="G79" s="0" t="s">
        <v>123</v>
      </c>
      <c r="J79" s="14" t="n">
        <v>49633.96</v>
      </c>
    </row>
    <row r="80" customFormat="false" ht="15" hidden="false" customHeight="false" outlineLevel="0" collapsed="false">
      <c r="G80" s="0" t="s">
        <v>124</v>
      </c>
      <c r="J80" s="14" t="n">
        <v>111502.09</v>
      </c>
    </row>
    <row r="81" customFormat="false" ht="15" hidden="false" customHeight="false" outlineLevel="0" collapsed="false">
      <c r="G81" s="0" t="s">
        <v>125</v>
      </c>
      <c r="J81" s="14" t="n">
        <v>68729.96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0</v>
      </c>
      <c r="G88" s="12" t="s">
        <v>34</v>
      </c>
      <c r="J88" s="13" t="n">
        <f aca="false">SUM(J78:J87)</f>
        <v>281002.63</v>
      </c>
    </row>
    <row r="91" customFormat="false" ht="15" hidden="false" customHeight="false" outlineLevel="0" collapsed="false">
      <c r="B91" s="11" t="s">
        <v>40</v>
      </c>
      <c r="G91" s="11" t="s">
        <v>41</v>
      </c>
    </row>
    <row r="92" customFormat="false" ht="15" hidden="false" customHeight="false" outlineLevel="0" collapsed="false">
      <c r="B92" s="0" t="s">
        <v>42</v>
      </c>
      <c r="E92" s="14" t="n">
        <v>9800</v>
      </c>
    </row>
    <row r="93" customFormat="false" ht="15" hidden="false" customHeight="false" outlineLevel="0" collapsed="false">
      <c r="B93" s="0" t="s">
        <v>43</v>
      </c>
      <c r="E93" s="14" t="n">
        <v>38500</v>
      </c>
    </row>
    <row r="94" customFormat="false" ht="15" hidden="false" customHeight="false" outlineLevel="0" collapsed="false">
      <c r="B94" s="0" t="s">
        <v>44</v>
      </c>
      <c r="E94" s="14" t="n">
        <v>92000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140300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45</v>
      </c>
      <c r="G105" s="11" t="s">
        <v>46</v>
      </c>
    </row>
    <row r="106" customFormat="false" ht="15" hidden="false" customHeight="false" outlineLevel="0" collapsed="false">
      <c r="B106" s="0" t="s">
        <v>134</v>
      </c>
      <c r="E106" s="14" t="n">
        <v>64345.89</v>
      </c>
      <c r="G106" s="15" t="s">
        <v>135</v>
      </c>
      <c r="J106" s="14" t="n">
        <v>23150</v>
      </c>
    </row>
    <row r="107" customFormat="false" ht="15" hidden="false" customHeight="false" outlineLevel="0" collapsed="false">
      <c r="B107" s="0" t="s">
        <v>136</v>
      </c>
      <c r="E107" s="14" t="n">
        <v>65404.64</v>
      </c>
    </row>
    <row r="108" customFormat="false" ht="15" hidden="false" customHeight="false" outlineLevel="0" collapsed="false">
      <c r="B108" s="0" t="s">
        <v>137</v>
      </c>
      <c r="E108" s="14" t="n">
        <v>58353.62</v>
      </c>
    </row>
    <row r="109" customFormat="false" ht="15" hidden="false" customHeight="false" outlineLevel="0" collapsed="false">
      <c r="B109" s="0" t="s">
        <v>138</v>
      </c>
      <c r="E109" s="14" t="n">
        <v>39743.28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227847.43</v>
      </c>
      <c r="G115" s="12" t="s">
        <v>34</v>
      </c>
      <c r="J115" s="13" t="n">
        <f aca="false">SUM(J106:J114)</f>
        <v>23150</v>
      </c>
    </row>
    <row r="118" customFormat="false" ht="15" hidden="false" customHeight="false" outlineLevel="0" collapsed="false">
      <c r="B118" s="11" t="s">
        <v>50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51</v>
      </c>
    </row>
    <row r="135" customFormat="false" ht="15" hidden="false" customHeight="false" outlineLevel="0" collapsed="false">
      <c r="G135" s="12" t="s">
        <v>52</v>
      </c>
    </row>
    <row r="136" customFormat="false" ht="15" hidden="false" customHeight="false" outlineLevel="0" collapsed="false">
      <c r="C136" s="0" t="s">
        <v>53</v>
      </c>
      <c r="D136" s="4" t="str">
        <f aca="false">D24</f>
        <v>JANGADA</v>
      </c>
      <c r="G136" s="15" t="s">
        <v>54</v>
      </c>
      <c r="J136" s="8" t="n">
        <v>1242658.97</v>
      </c>
    </row>
    <row r="137" customFormat="false" ht="15" hidden="false" customHeight="false" outlineLevel="0" collapsed="false">
      <c r="C137" s="0" t="s">
        <v>55</v>
      </c>
      <c r="D137" s="10" t="n">
        <f aca="false">J28</f>
        <v>34454960</v>
      </c>
      <c r="G137" s="15" t="s">
        <v>56</v>
      </c>
      <c r="J137" s="8" t="n">
        <v>1176579.42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57</v>
      </c>
      <c r="J138" s="10" t="n">
        <f aca="false">J137-J136</f>
        <v>-66079.5500000001</v>
      </c>
    </row>
    <row r="139" customFormat="false" ht="15" hidden="false" customHeight="false" outlineLevel="0" collapsed="false">
      <c r="C139" s="0" t="s">
        <v>58</v>
      </c>
      <c r="D139" s="16" t="n">
        <f aca="false">E26</f>
        <v>46174</v>
      </c>
      <c r="G139" s="15" t="s">
        <v>59</v>
      </c>
    </row>
    <row r="140" customFormat="false" ht="15" hidden="false" customHeight="false" outlineLevel="0" collapsed="false">
      <c r="C140" s="0" t="s">
        <v>60</v>
      </c>
      <c r="D140" s="17" t="n">
        <f aca="false">F31</f>
        <v>0.0446</v>
      </c>
    </row>
    <row r="141" customFormat="false" ht="15" hidden="false" customHeight="false" outlineLevel="0" collapsed="false">
      <c r="C141" s="0" t="s">
        <v>61</v>
      </c>
      <c r="D141" s="17" t="n">
        <f aca="false">F33</f>
        <v>0.0332</v>
      </c>
    </row>
    <row r="142" customFormat="false" ht="15" hidden="false" customHeight="false" outlineLevel="0" collapsed="false">
      <c r="C142" s="0" t="s">
        <v>62</v>
      </c>
      <c r="D142" s="17" t="n">
        <f aca="false">F35</f>
        <v>0.361</v>
      </c>
    </row>
    <row r="143" customFormat="false" ht="15" hidden="false" customHeight="false" outlineLevel="0" collapsed="false">
      <c r="C143" s="0" t="s">
        <v>63</v>
      </c>
      <c r="D143" s="17" t="n">
        <f aca="false">F37</f>
        <v>0.2813</v>
      </c>
    </row>
    <row r="145" customFormat="false" ht="15" hidden="false" customHeight="false" outlineLevel="0" collapsed="false">
      <c r="B145" s="0" t="s">
        <v>64</v>
      </c>
      <c r="C145" s="0" t="s">
        <v>65</v>
      </c>
      <c r="D145" s="10" t="n">
        <f aca="false">F39</f>
        <v>9692180.248</v>
      </c>
      <c r="E145" s="18" t="n">
        <f aca="false">D145/$D$137</f>
        <v>0.2813</v>
      </c>
    </row>
    <row r="146" customFormat="false" ht="15" hidden="false" customHeight="false" outlineLevel="0" collapsed="false">
      <c r="B146" s="0" t="s">
        <v>66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67</v>
      </c>
      <c r="C147" s="0" t="s">
        <v>35</v>
      </c>
      <c r="D147" s="10" t="n">
        <f aca="false">F43</f>
        <v>0</v>
      </c>
      <c r="E147" s="18" t="n">
        <f aca="false">D147/$D$137</f>
        <v>0</v>
      </c>
    </row>
    <row r="148" customFormat="false" ht="15" hidden="false" customHeight="false" outlineLevel="0" collapsed="false">
      <c r="B148" s="0" t="s">
        <v>68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69</v>
      </c>
      <c r="C149" s="0" t="s">
        <v>36</v>
      </c>
      <c r="D149" s="10" t="n">
        <f aca="false">F47</f>
        <v>281002.63</v>
      </c>
      <c r="E149" s="18" t="n">
        <f aca="false">D149/$D$137</f>
        <v>0.00815565102963405</v>
      </c>
    </row>
    <row r="150" customFormat="false" ht="15" hidden="false" customHeight="false" outlineLevel="0" collapsed="false">
      <c r="B150" s="0" t="s">
        <v>70</v>
      </c>
      <c r="C150" s="0" t="s">
        <v>71</v>
      </c>
      <c r="D150" s="10" t="n">
        <f aca="false">F49</f>
        <v>140300</v>
      </c>
      <c r="E150" s="18" t="n">
        <f aca="false">D150/$D$137</f>
        <v>0.00407198266954888</v>
      </c>
    </row>
    <row r="151" customFormat="false" ht="15" hidden="false" customHeight="false" outlineLevel="0" collapsed="false">
      <c r="B151" s="0" t="s">
        <v>72</v>
      </c>
      <c r="C151" s="0" t="s">
        <v>73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74</v>
      </c>
      <c r="C152" s="0" t="s">
        <v>45</v>
      </c>
      <c r="D152" s="10" t="n">
        <f aca="false">F53</f>
        <v>227847.43</v>
      </c>
      <c r="E152" s="18" t="n">
        <f aca="false">D152/$D$137</f>
        <v>0.00661290653072881</v>
      </c>
    </row>
    <row r="153" customFormat="false" ht="15" hidden="false" customHeight="false" outlineLevel="0" collapsed="false">
      <c r="B153" s="0" t="s">
        <v>75</v>
      </c>
      <c r="C153" s="0" t="s">
        <v>76</v>
      </c>
      <c r="D153" s="10" t="n">
        <f aca="false">F56</f>
        <v>10065738.1</v>
      </c>
      <c r="E153" s="18" t="n">
        <f aca="false">D153/$D$137</f>
        <v>0.292141918028638</v>
      </c>
    </row>
    <row r="154" customFormat="false" ht="15" hidden="false" customHeight="false" outlineLevel="0" collapsed="false">
      <c r="B154" s="0" t="s">
        <v>77</v>
      </c>
      <c r="C154" s="0" t="s">
        <v>50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78</v>
      </c>
      <c r="D155" s="13" t="n">
        <f aca="false">D145+D146+D147+D148+D149+D150+D151-D152-D153-D154</f>
        <v>-180102.651999999</v>
      </c>
      <c r="E155" s="19" t="n">
        <f aca="false">D155/D137</f>
        <v>-0.00522719086018381</v>
      </c>
    </row>
    <row r="156" customFormat="false" ht="15" hidden="false" customHeight="false" outlineLevel="0" collapsed="false">
      <c r="C156" s="0" t="s">
        <v>79</v>
      </c>
      <c r="D156" s="10" t="n">
        <f aca="false">MAI26!D155</f>
        <v>-145689.268000001</v>
      </c>
      <c r="E156" s="17" t="n">
        <f aca="false">MAI26!E155</f>
        <v>-0.00424557949289421</v>
      </c>
    </row>
    <row r="160" customFormat="false" ht="15" hidden="false" customHeight="false" outlineLevel="0" collapsed="false">
      <c r="B160" s="12" t="s">
        <v>80</v>
      </c>
    </row>
    <row r="162" customFormat="false" ht="15" hidden="false" customHeight="false" outlineLevel="0" collapsed="false">
      <c r="B162" s="12" t="s">
        <v>81</v>
      </c>
    </row>
    <row r="163" customFormat="false" ht="15" hidden="false" customHeight="false" outlineLevel="0" collapsed="false">
      <c r="B163" s="0" t="s">
        <v>82</v>
      </c>
    </row>
    <row r="164" customFormat="false" ht="15" hidden="false" customHeight="false" outlineLevel="0" collapsed="false">
      <c r="B164" s="12" t="s">
        <v>83</v>
      </c>
    </row>
    <row r="165" customFormat="false" ht="15" hidden="false" customHeight="false" outlineLevel="0" collapsed="false">
      <c r="B165" s="0" t="s">
        <v>84</v>
      </c>
    </row>
    <row r="166" customFormat="false" ht="15" hidden="false" customHeight="false" outlineLevel="0" collapsed="false">
      <c r="B166" s="12" t="s">
        <v>85</v>
      </c>
    </row>
    <row r="167" customFormat="false" ht="15" hidden="false" customHeight="false" outlineLevel="0" collapsed="false">
      <c r="B167" s="0" t="s">
        <v>86</v>
      </c>
    </row>
    <row r="168" customFormat="false" ht="15" hidden="false" customHeight="false" outlineLevel="0" collapsed="false">
      <c r="B168" s="12" t="s">
        <v>87</v>
      </c>
    </row>
    <row r="169" customFormat="false" ht="15" hidden="false" customHeight="false" outlineLevel="0" collapsed="false">
      <c r="B169" s="0" t="s">
        <v>88</v>
      </c>
    </row>
    <row r="170" customFormat="false" ht="15" hidden="false" customHeight="false" outlineLevel="0" collapsed="false">
      <c r="B170" s="12" t="s">
        <v>89</v>
      </c>
    </row>
    <row r="171" customFormat="false" ht="15" hidden="false" customHeight="false" outlineLevel="0" collapsed="false">
      <c r="B171" s="0" t="s">
        <v>90</v>
      </c>
    </row>
    <row r="172" customFormat="false" ht="15" hidden="false" customHeight="false" outlineLevel="0" collapsed="false">
      <c r="B172" s="12" t="s">
        <v>91</v>
      </c>
    </row>
    <row r="173" customFormat="false" ht="15" hidden="false" customHeight="false" outlineLevel="0" collapsed="false">
      <c r="B173" s="0" t="s">
        <v>92</v>
      </c>
    </row>
    <row r="174" customFormat="false" ht="15" hidden="false" customHeight="false" outlineLevel="0" collapsed="false">
      <c r="B174" s="12" t="s">
        <v>93</v>
      </c>
    </row>
    <row r="175" customFormat="false" ht="15" hidden="false" customHeight="false" outlineLevel="0" collapsed="false">
      <c r="B175" s="0" t="s">
        <v>94</v>
      </c>
    </row>
    <row r="176" customFormat="false" ht="15" hidden="false" customHeight="false" outlineLevel="0" collapsed="false">
      <c r="B176" s="12" t="s">
        <v>95</v>
      </c>
    </row>
    <row r="177" customFormat="false" ht="15" hidden="false" customHeight="false" outlineLevel="0" collapsed="false">
      <c r="B177" s="0" t="s">
        <v>96</v>
      </c>
    </row>
    <row r="178" customFormat="false" ht="15" hidden="false" customHeight="false" outlineLevel="0" collapsed="false">
      <c r="B178" s="12" t="s">
        <v>97</v>
      </c>
    </row>
    <row r="179" customFormat="false" ht="15" hidden="false" customHeight="false" outlineLevel="0" collapsed="false">
      <c r="B179" s="0" t="s">
        <v>98</v>
      </c>
    </row>
    <row r="180" customFormat="false" ht="15" hidden="false" customHeight="false" outlineLevel="0" collapsed="false">
      <c r="B180" s="12" t="s">
        <v>99</v>
      </c>
    </row>
    <row r="181" customFormat="false" ht="15" hidden="false" customHeight="false" outlineLevel="0" collapsed="false">
      <c r="B181" s="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46204</v>
      </c>
    </row>
    <row r="28" customFormat="false" ht="15" hidden="false" customHeight="false" outlineLevel="0" collapsed="false">
      <c r="B28" s="0" t="s">
        <v>14</v>
      </c>
      <c r="J28" s="8" t="n">
        <v>34594400</v>
      </c>
    </row>
    <row r="29" customFormat="false" ht="15" hidden="false" customHeight="false" outlineLevel="0" collapsed="false">
      <c r="B29" s="0" t="s">
        <v>15</v>
      </c>
      <c r="J29" s="3" t="s">
        <v>121</v>
      </c>
    </row>
    <row r="31" customFormat="false" ht="15" hidden="false" customHeight="false" outlineLevel="0" collapsed="false">
      <c r="B31" s="0" t="s">
        <v>17</v>
      </c>
      <c r="F31" s="9" t="n">
        <v>0.0457</v>
      </c>
    </row>
    <row r="33" customFormat="false" ht="15" hidden="false" customHeight="false" outlineLevel="0" collapsed="false">
      <c r="B33" s="0" t="s">
        <v>18</v>
      </c>
      <c r="F33" s="9" t="n">
        <v>0.0355</v>
      </c>
    </row>
    <row r="35" customFormat="false" ht="15" hidden="false" customHeight="false" outlineLevel="0" collapsed="false">
      <c r="B35" s="0" t="s">
        <v>19</v>
      </c>
      <c r="F35" s="9" t="n">
        <v>0.4067</v>
      </c>
    </row>
    <row r="37" customFormat="false" ht="15" hidden="false" customHeight="false" outlineLevel="0" collapsed="false">
      <c r="B37" s="0" t="s">
        <v>20</v>
      </c>
      <c r="F37" s="9" t="n">
        <v>0.3168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10959505.92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69188.8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380488.14</v>
      </c>
    </row>
    <row r="49" customFormat="false" ht="15" hidden="false" customHeight="false" outlineLevel="0" collapsed="false">
      <c r="B49" s="0" t="s">
        <v>26</v>
      </c>
      <c r="F49" s="10" t="n">
        <f aca="false">E102</f>
        <v>140300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293515.23</v>
      </c>
    </row>
    <row r="55" customFormat="false" ht="15" hidden="false" customHeight="false" outlineLevel="0" collapsed="false">
      <c r="B55" s="0" t="s">
        <v>29</v>
      </c>
      <c r="F55" s="8" t="n">
        <v>11493581.63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11493581.63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B78" s="0" t="s">
        <v>139</v>
      </c>
      <c r="E78" s="14" t="n">
        <v>69188.8</v>
      </c>
      <c r="G78" s="15" t="s">
        <v>122</v>
      </c>
      <c r="J78" s="14" t="n">
        <v>88635.76</v>
      </c>
    </row>
    <row r="79" customFormat="false" ht="15" hidden="false" customHeight="false" outlineLevel="0" collapsed="false">
      <c r="G79" s="0" t="s">
        <v>123</v>
      </c>
      <c r="J79" s="14" t="n">
        <v>80440.85</v>
      </c>
    </row>
    <row r="80" customFormat="false" ht="15" hidden="false" customHeight="false" outlineLevel="0" collapsed="false">
      <c r="G80" s="0" t="s">
        <v>124</v>
      </c>
      <c r="J80" s="14" t="n">
        <v>89980.93</v>
      </c>
    </row>
    <row r="81" customFormat="false" ht="15" hidden="false" customHeight="false" outlineLevel="0" collapsed="false">
      <c r="G81" s="0" t="s">
        <v>125</v>
      </c>
      <c r="J81" s="14" t="n">
        <v>121430.6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69188.8</v>
      </c>
      <c r="G88" s="12" t="s">
        <v>34</v>
      </c>
      <c r="J88" s="13" t="n">
        <f aca="false">SUM(J78:J87)</f>
        <v>380488.14</v>
      </c>
    </row>
    <row r="91" customFormat="false" ht="15" hidden="false" customHeight="false" outlineLevel="0" collapsed="false">
      <c r="B91" s="11" t="s">
        <v>40</v>
      </c>
      <c r="G91" s="11" t="s">
        <v>41</v>
      </c>
    </row>
    <row r="92" customFormat="false" ht="15" hidden="false" customHeight="false" outlineLevel="0" collapsed="false">
      <c r="B92" s="0" t="s">
        <v>42</v>
      </c>
      <c r="E92" s="14" t="n">
        <v>9800</v>
      </c>
    </row>
    <row r="93" customFormat="false" ht="15" hidden="false" customHeight="false" outlineLevel="0" collapsed="false">
      <c r="B93" s="0" t="s">
        <v>43</v>
      </c>
      <c r="E93" s="14" t="n">
        <v>38500</v>
      </c>
    </row>
    <row r="94" customFormat="false" ht="15" hidden="false" customHeight="false" outlineLevel="0" collapsed="false">
      <c r="B94" s="0" t="s">
        <v>44</v>
      </c>
      <c r="E94" s="14" t="n">
        <v>92000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140300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45</v>
      </c>
      <c r="G105" s="11" t="s">
        <v>46</v>
      </c>
    </row>
    <row r="106" customFormat="false" ht="15" hidden="false" customHeight="false" outlineLevel="0" collapsed="false">
      <c r="B106" s="0" t="s">
        <v>140</v>
      </c>
      <c r="E106" s="14" t="n">
        <v>76945.32</v>
      </c>
    </row>
    <row r="107" customFormat="false" ht="15" hidden="false" customHeight="false" outlineLevel="0" collapsed="false">
      <c r="B107" s="0" t="s">
        <v>141</v>
      </c>
      <c r="E107" s="14" t="n">
        <v>55031.86</v>
      </c>
    </row>
    <row r="108" customFormat="false" ht="15" hidden="false" customHeight="false" outlineLevel="0" collapsed="false">
      <c r="B108" s="0" t="s">
        <v>142</v>
      </c>
      <c r="E108" s="14" t="n">
        <v>75451.87</v>
      </c>
    </row>
    <row r="109" customFormat="false" ht="15" hidden="false" customHeight="false" outlineLevel="0" collapsed="false">
      <c r="B109" s="0" t="s">
        <v>143</v>
      </c>
      <c r="E109" s="14" t="n">
        <v>86086.18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293515.23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50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51</v>
      </c>
    </row>
    <row r="135" customFormat="false" ht="15" hidden="false" customHeight="false" outlineLevel="0" collapsed="false">
      <c r="G135" s="12" t="s">
        <v>52</v>
      </c>
    </row>
    <row r="136" customFormat="false" ht="15" hidden="false" customHeight="false" outlineLevel="0" collapsed="false">
      <c r="C136" s="0" t="s">
        <v>53</v>
      </c>
      <c r="D136" s="4" t="str">
        <f aca="false">D24</f>
        <v>JANGADA</v>
      </c>
      <c r="G136" s="15" t="s">
        <v>54</v>
      </c>
      <c r="J136" s="8" t="n">
        <v>1460643.39</v>
      </c>
    </row>
    <row r="137" customFormat="false" ht="15" hidden="false" customHeight="false" outlineLevel="0" collapsed="false">
      <c r="C137" s="0" t="s">
        <v>55</v>
      </c>
      <c r="D137" s="10" t="n">
        <f aca="false">J28</f>
        <v>34594400</v>
      </c>
      <c r="G137" s="15" t="s">
        <v>56</v>
      </c>
      <c r="J137" s="8" t="n">
        <v>1404693.53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57</v>
      </c>
      <c r="J138" s="10" t="n">
        <f aca="false">J137-J136</f>
        <v>-55949.8599999999</v>
      </c>
    </row>
    <row r="139" customFormat="false" ht="15" hidden="false" customHeight="false" outlineLevel="0" collapsed="false">
      <c r="C139" s="0" t="s">
        <v>58</v>
      </c>
      <c r="D139" s="16" t="n">
        <f aca="false">E26</f>
        <v>46204</v>
      </c>
      <c r="G139" s="15" t="s">
        <v>59</v>
      </c>
    </row>
    <row r="140" customFormat="false" ht="15" hidden="false" customHeight="false" outlineLevel="0" collapsed="false">
      <c r="C140" s="0" t="s">
        <v>60</v>
      </c>
      <c r="D140" s="17" t="n">
        <f aca="false">F31</f>
        <v>0.0457</v>
      </c>
    </row>
    <row r="141" customFormat="false" ht="15" hidden="false" customHeight="false" outlineLevel="0" collapsed="false">
      <c r="C141" s="0" t="s">
        <v>61</v>
      </c>
      <c r="D141" s="17" t="n">
        <f aca="false">F33</f>
        <v>0.0355</v>
      </c>
    </row>
    <row r="142" customFormat="false" ht="15" hidden="false" customHeight="false" outlineLevel="0" collapsed="false">
      <c r="C142" s="0" t="s">
        <v>62</v>
      </c>
      <c r="D142" s="17" t="n">
        <f aca="false">F35</f>
        <v>0.4067</v>
      </c>
    </row>
    <row r="143" customFormat="false" ht="15" hidden="false" customHeight="false" outlineLevel="0" collapsed="false">
      <c r="C143" s="0" t="s">
        <v>63</v>
      </c>
      <c r="D143" s="17" t="n">
        <f aca="false">F37</f>
        <v>0.3168</v>
      </c>
    </row>
    <row r="145" customFormat="false" ht="15" hidden="false" customHeight="false" outlineLevel="0" collapsed="false">
      <c r="B145" s="0" t="s">
        <v>64</v>
      </c>
      <c r="C145" s="0" t="s">
        <v>65</v>
      </c>
      <c r="D145" s="10" t="n">
        <f aca="false">F39</f>
        <v>10959505.92</v>
      </c>
      <c r="E145" s="18" t="n">
        <f aca="false">D145/$D$137</f>
        <v>0.3168</v>
      </c>
    </row>
    <row r="146" customFormat="false" ht="15" hidden="false" customHeight="false" outlineLevel="0" collapsed="false">
      <c r="B146" s="0" t="s">
        <v>66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67</v>
      </c>
      <c r="C147" s="0" t="s">
        <v>35</v>
      </c>
      <c r="D147" s="10" t="n">
        <f aca="false">F43</f>
        <v>69188.8</v>
      </c>
      <c r="E147" s="18" t="n">
        <f aca="false">D147/$D$137</f>
        <v>0.002</v>
      </c>
    </row>
    <row r="148" customFormat="false" ht="15" hidden="false" customHeight="false" outlineLevel="0" collapsed="false">
      <c r="B148" s="0" t="s">
        <v>68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69</v>
      </c>
      <c r="C149" s="0" t="s">
        <v>36</v>
      </c>
      <c r="D149" s="10" t="n">
        <f aca="false">F47</f>
        <v>380488.14</v>
      </c>
      <c r="E149" s="18" t="n">
        <f aca="false">D149/$D$137</f>
        <v>0.0109985471637028</v>
      </c>
    </row>
    <row r="150" customFormat="false" ht="15" hidden="false" customHeight="false" outlineLevel="0" collapsed="false">
      <c r="B150" s="0" t="s">
        <v>70</v>
      </c>
      <c r="C150" s="0" t="s">
        <v>71</v>
      </c>
      <c r="D150" s="10" t="n">
        <f aca="false">F49</f>
        <v>140300</v>
      </c>
      <c r="E150" s="18" t="n">
        <f aca="false">D150/$D$137</f>
        <v>0.00405556968757949</v>
      </c>
    </row>
    <row r="151" customFormat="false" ht="15" hidden="false" customHeight="false" outlineLevel="0" collapsed="false">
      <c r="B151" s="0" t="s">
        <v>72</v>
      </c>
      <c r="C151" s="0" t="s">
        <v>73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74</v>
      </c>
      <c r="C152" s="0" t="s">
        <v>45</v>
      </c>
      <c r="D152" s="10" t="n">
        <f aca="false">F53</f>
        <v>293515.23</v>
      </c>
      <c r="E152" s="18" t="n">
        <f aca="false">D152/$D$137</f>
        <v>0.00848447234234443</v>
      </c>
    </row>
    <row r="153" customFormat="false" ht="15" hidden="false" customHeight="false" outlineLevel="0" collapsed="false">
      <c r="B153" s="0" t="s">
        <v>75</v>
      </c>
      <c r="C153" s="0" t="s">
        <v>76</v>
      </c>
      <c r="D153" s="10" t="n">
        <f aca="false">F56</f>
        <v>11493581.63</v>
      </c>
      <c r="E153" s="18" t="n">
        <f aca="false">D153/$D$137</f>
        <v>0.332238212832135</v>
      </c>
    </row>
    <row r="154" customFormat="false" ht="15" hidden="false" customHeight="false" outlineLevel="0" collapsed="false">
      <c r="B154" s="0" t="s">
        <v>77</v>
      </c>
      <c r="C154" s="0" t="s">
        <v>50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78</v>
      </c>
      <c r="D155" s="13" t="n">
        <f aca="false">D145+D146+D147+D148+D149+D150+D151-D152-D153-D154</f>
        <v>-237613.999999998</v>
      </c>
      <c r="E155" s="19" t="n">
        <f aca="false">D155/D137</f>
        <v>-0.00686856832319676</v>
      </c>
    </row>
    <row r="156" customFormat="false" ht="15" hidden="false" customHeight="false" outlineLevel="0" collapsed="false">
      <c r="C156" s="0" t="s">
        <v>79</v>
      </c>
      <c r="D156" s="10" t="n">
        <f aca="false">JUN26!D155</f>
        <v>-180102.651999999</v>
      </c>
      <c r="E156" s="17" t="n">
        <f aca="false">JUN26!E155</f>
        <v>-0.00522719086018381</v>
      </c>
    </row>
    <row r="160" customFormat="false" ht="15" hidden="false" customHeight="false" outlineLevel="0" collapsed="false">
      <c r="B160" s="12" t="s">
        <v>80</v>
      </c>
    </row>
    <row r="162" customFormat="false" ht="15" hidden="false" customHeight="false" outlineLevel="0" collapsed="false">
      <c r="B162" s="12" t="s">
        <v>81</v>
      </c>
    </row>
    <row r="163" customFormat="false" ht="15" hidden="false" customHeight="false" outlineLevel="0" collapsed="false">
      <c r="B163" s="0" t="s">
        <v>82</v>
      </c>
    </row>
    <row r="164" customFormat="false" ht="15" hidden="false" customHeight="false" outlineLevel="0" collapsed="false">
      <c r="B164" s="12" t="s">
        <v>83</v>
      </c>
    </row>
    <row r="165" customFormat="false" ht="15" hidden="false" customHeight="false" outlineLevel="0" collapsed="false">
      <c r="B165" s="0" t="s">
        <v>84</v>
      </c>
    </row>
    <row r="166" customFormat="false" ht="15" hidden="false" customHeight="false" outlineLevel="0" collapsed="false">
      <c r="B166" s="12" t="s">
        <v>85</v>
      </c>
    </row>
    <row r="167" customFormat="false" ht="15" hidden="false" customHeight="false" outlineLevel="0" collapsed="false">
      <c r="B167" s="0" t="s">
        <v>86</v>
      </c>
    </row>
    <row r="168" customFormat="false" ht="15" hidden="false" customHeight="false" outlineLevel="0" collapsed="false">
      <c r="B168" s="12" t="s">
        <v>87</v>
      </c>
    </row>
    <row r="169" customFormat="false" ht="15" hidden="false" customHeight="false" outlineLevel="0" collapsed="false">
      <c r="B169" s="0" t="s">
        <v>88</v>
      </c>
    </row>
    <row r="170" customFormat="false" ht="15" hidden="false" customHeight="false" outlineLevel="0" collapsed="false">
      <c r="B170" s="12" t="s">
        <v>89</v>
      </c>
    </row>
    <row r="171" customFormat="false" ht="15" hidden="false" customHeight="false" outlineLevel="0" collapsed="false">
      <c r="B171" s="0" t="s">
        <v>90</v>
      </c>
    </row>
    <row r="172" customFormat="false" ht="15" hidden="false" customHeight="false" outlineLevel="0" collapsed="false">
      <c r="B172" s="12" t="s">
        <v>91</v>
      </c>
    </row>
    <row r="173" customFormat="false" ht="15" hidden="false" customHeight="false" outlineLevel="0" collapsed="false">
      <c r="B173" s="0" t="s">
        <v>92</v>
      </c>
    </row>
    <row r="174" customFormat="false" ht="15" hidden="false" customHeight="false" outlineLevel="0" collapsed="false">
      <c r="B174" s="12" t="s">
        <v>93</v>
      </c>
    </row>
    <row r="175" customFormat="false" ht="15" hidden="false" customHeight="false" outlineLevel="0" collapsed="false">
      <c r="B175" s="0" t="s">
        <v>94</v>
      </c>
    </row>
    <row r="176" customFormat="false" ht="15" hidden="false" customHeight="false" outlineLevel="0" collapsed="false">
      <c r="B176" s="12" t="s">
        <v>95</v>
      </c>
    </row>
    <row r="177" customFormat="false" ht="15" hidden="false" customHeight="false" outlineLevel="0" collapsed="false">
      <c r="B177" s="0" t="s">
        <v>96</v>
      </c>
    </row>
    <row r="178" customFormat="false" ht="15" hidden="false" customHeight="false" outlineLevel="0" collapsed="false">
      <c r="B178" s="12" t="s">
        <v>97</v>
      </c>
    </row>
    <row r="179" customFormat="false" ht="15" hidden="false" customHeight="false" outlineLevel="0" collapsed="false">
      <c r="B179" s="0" t="s">
        <v>98</v>
      </c>
    </row>
    <row r="180" customFormat="false" ht="15" hidden="false" customHeight="false" outlineLevel="0" collapsed="false">
      <c r="B180" s="12" t="s">
        <v>99</v>
      </c>
    </row>
    <row r="181" customFormat="false" ht="15" hidden="false" customHeight="false" outlineLevel="0" collapsed="false">
      <c r="B181" s="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46235</v>
      </c>
    </row>
    <row r="28" customFormat="false" ht="15" hidden="false" customHeight="false" outlineLevel="0" collapsed="false">
      <c r="B28" s="0" t="s">
        <v>14</v>
      </c>
      <c r="J28" s="8" t="n">
        <v>34733840</v>
      </c>
    </row>
    <row r="29" customFormat="false" ht="15" hidden="false" customHeight="false" outlineLevel="0" collapsed="false">
      <c r="B29" s="0" t="s">
        <v>15</v>
      </c>
      <c r="J29" s="3" t="s">
        <v>121</v>
      </c>
    </row>
    <row r="31" customFormat="false" ht="15" hidden="false" customHeight="false" outlineLevel="0" collapsed="false">
      <c r="B31" s="0" t="s">
        <v>17</v>
      </c>
      <c r="F31" s="9" t="n">
        <v>0.0465</v>
      </c>
    </row>
    <row r="33" customFormat="false" ht="15" hidden="false" customHeight="false" outlineLevel="0" collapsed="false">
      <c r="B33" s="0" t="s">
        <v>18</v>
      </c>
      <c r="F33" s="9" t="n">
        <v>0.0616</v>
      </c>
    </row>
    <row r="35" customFormat="false" ht="15" hidden="false" customHeight="false" outlineLevel="0" collapsed="false">
      <c r="B35" s="0" t="s">
        <v>19</v>
      </c>
      <c r="F35" s="9" t="n">
        <v>0.4532</v>
      </c>
    </row>
    <row r="37" customFormat="false" ht="15" hidden="false" customHeight="false" outlineLevel="0" collapsed="false">
      <c r="B37" s="0" t="s">
        <v>20</v>
      </c>
      <c r="F37" s="9" t="n">
        <v>0.3784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13143285.056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69467.68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281951.8</v>
      </c>
    </row>
    <row r="49" customFormat="false" ht="15" hidden="false" customHeight="false" outlineLevel="0" collapsed="false">
      <c r="B49" s="0" t="s">
        <v>26</v>
      </c>
      <c r="F49" s="10" t="n">
        <f aca="false">E102</f>
        <v>140300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524354.5</v>
      </c>
    </row>
    <row r="55" customFormat="false" ht="15" hidden="false" customHeight="false" outlineLevel="0" collapsed="false">
      <c r="B55" s="0" t="s">
        <v>29</v>
      </c>
      <c r="F55" s="8" t="n">
        <v>13442346.46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13442346.46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B78" s="0" t="s">
        <v>139</v>
      </c>
      <c r="E78" s="14" t="n">
        <v>69467.68</v>
      </c>
      <c r="G78" s="15" t="s">
        <v>122</v>
      </c>
      <c r="J78" s="14" t="n">
        <v>59159.39</v>
      </c>
    </row>
    <row r="79" customFormat="false" ht="15" hidden="false" customHeight="false" outlineLevel="0" collapsed="false">
      <c r="G79" s="0" t="s">
        <v>123</v>
      </c>
      <c r="J79" s="14" t="n">
        <v>58411.54</v>
      </c>
    </row>
    <row r="80" customFormat="false" ht="15" hidden="false" customHeight="false" outlineLevel="0" collapsed="false">
      <c r="G80" s="0" t="s">
        <v>124</v>
      </c>
      <c r="J80" s="14" t="n">
        <v>95845.1</v>
      </c>
    </row>
    <row r="81" customFormat="false" ht="15" hidden="false" customHeight="false" outlineLevel="0" collapsed="false">
      <c r="G81" s="0" t="s">
        <v>125</v>
      </c>
      <c r="J81" s="14" t="n">
        <v>68535.77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69467.68</v>
      </c>
      <c r="G88" s="12" t="s">
        <v>34</v>
      </c>
      <c r="J88" s="13" t="n">
        <f aca="false">SUM(J78:J87)</f>
        <v>281951.8</v>
      </c>
    </row>
    <row r="91" customFormat="false" ht="15" hidden="false" customHeight="false" outlineLevel="0" collapsed="false">
      <c r="B91" s="11" t="s">
        <v>40</v>
      </c>
      <c r="G91" s="11" t="s">
        <v>41</v>
      </c>
    </row>
    <row r="92" customFormat="false" ht="15" hidden="false" customHeight="false" outlineLevel="0" collapsed="false">
      <c r="B92" s="0" t="s">
        <v>42</v>
      </c>
      <c r="E92" s="14" t="n">
        <v>9800</v>
      </c>
    </row>
    <row r="93" customFormat="false" ht="15" hidden="false" customHeight="false" outlineLevel="0" collapsed="false">
      <c r="B93" s="0" t="s">
        <v>43</v>
      </c>
      <c r="E93" s="14" t="n">
        <v>38500</v>
      </c>
    </row>
    <row r="94" customFormat="false" ht="15" hidden="false" customHeight="false" outlineLevel="0" collapsed="false">
      <c r="B94" s="0" t="s">
        <v>44</v>
      </c>
      <c r="E94" s="14" t="n">
        <v>92000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140300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45</v>
      </c>
      <c r="G105" s="11" t="s">
        <v>46</v>
      </c>
    </row>
    <row r="106" customFormat="false" ht="15" hidden="false" customHeight="false" outlineLevel="0" collapsed="false">
      <c r="B106" s="0" t="s">
        <v>144</v>
      </c>
      <c r="E106" s="14" t="n">
        <v>168265.81</v>
      </c>
    </row>
    <row r="107" customFormat="false" ht="15" hidden="false" customHeight="false" outlineLevel="0" collapsed="false">
      <c r="B107" s="0" t="s">
        <v>145</v>
      </c>
      <c r="E107" s="14" t="n">
        <v>109923.8</v>
      </c>
    </row>
    <row r="108" customFormat="false" ht="15" hidden="false" customHeight="false" outlineLevel="0" collapsed="false">
      <c r="B108" s="0" t="s">
        <v>146</v>
      </c>
      <c r="E108" s="14" t="n">
        <v>100164.03</v>
      </c>
    </row>
    <row r="109" customFormat="false" ht="15" hidden="false" customHeight="false" outlineLevel="0" collapsed="false">
      <c r="B109" s="0" t="s">
        <v>147</v>
      </c>
      <c r="E109" s="14" t="n">
        <v>146000.86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524354.5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50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51</v>
      </c>
    </row>
    <row r="135" customFormat="false" ht="15" hidden="false" customHeight="false" outlineLevel="0" collapsed="false">
      <c r="G135" s="12" t="s">
        <v>52</v>
      </c>
    </row>
    <row r="136" customFormat="false" ht="15" hidden="false" customHeight="false" outlineLevel="0" collapsed="false">
      <c r="C136" s="0" t="s">
        <v>53</v>
      </c>
      <c r="D136" s="4" t="str">
        <f aca="false">D24</f>
        <v>JANGADA</v>
      </c>
      <c r="G136" s="15" t="s">
        <v>54</v>
      </c>
      <c r="J136" s="8" t="n">
        <v>1909960.17</v>
      </c>
    </row>
    <row r="137" customFormat="false" ht="15" hidden="false" customHeight="false" outlineLevel="0" collapsed="false">
      <c r="C137" s="0" t="s">
        <v>55</v>
      </c>
      <c r="D137" s="10" t="n">
        <f aca="false">J28</f>
        <v>34733840</v>
      </c>
      <c r="G137" s="15" t="s">
        <v>56</v>
      </c>
      <c r="J137" s="8" t="n">
        <v>1948764.83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57</v>
      </c>
      <c r="J138" s="10" t="n">
        <f aca="false">J137-J136</f>
        <v>38804.6600000002</v>
      </c>
    </row>
    <row r="139" customFormat="false" ht="15" hidden="false" customHeight="false" outlineLevel="0" collapsed="false">
      <c r="C139" s="0" t="s">
        <v>58</v>
      </c>
      <c r="D139" s="16" t="n">
        <f aca="false">E26</f>
        <v>46235</v>
      </c>
      <c r="G139" s="15" t="s">
        <v>59</v>
      </c>
    </row>
    <row r="140" customFormat="false" ht="15" hidden="false" customHeight="false" outlineLevel="0" collapsed="false">
      <c r="C140" s="0" t="s">
        <v>60</v>
      </c>
      <c r="D140" s="17" t="n">
        <f aca="false">F31</f>
        <v>0.0465</v>
      </c>
    </row>
    <row r="141" customFormat="false" ht="15" hidden="false" customHeight="false" outlineLevel="0" collapsed="false">
      <c r="C141" s="0" t="s">
        <v>61</v>
      </c>
      <c r="D141" s="17" t="n">
        <f aca="false">F33</f>
        <v>0.0616</v>
      </c>
    </row>
    <row r="142" customFormat="false" ht="15" hidden="false" customHeight="false" outlineLevel="0" collapsed="false">
      <c r="C142" s="0" t="s">
        <v>62</v>
      </c>
      <c r="D142" s="17" t="n">
        <f aca="false">F35</f>
        <v>0.4532</v>
      </c>
    </row>
    <row r="143" customFormat="false" ht="15" hidden="false" customHeight="false" outlineLevel="0" collapsed="false">
      <c r="C143" s="0" t="s">
        <v>63</v>
      </c>
      <c r="D143" s="17" t="n">
        <f aca="false">F37</f>
        <v>0.3784</v>
      </c>
    </row>
    <row r="145" customFormat="false" ht="15" hidden="false" customHeight="false" outlineLevel="0" collapsed="false">
      <c r="B145" s="0" t="s">
        <v>64</v>
      </c>
      <c r="C145" s="0" t="s">
        <v>65</v>
      </c>
      <c r="D145" s="10" t="n">
        <f aca="false">F39</f>
        <v>13143285.056</v>
      </c>
      <c r="E145" s="18" t="n">
        <f aca="false">D145/$D$137</f>
        <v>0.3784</v>
      </c>
    </row>
    <row r="146" customFormat="false" ht="15" hidden="false" customHeight="false" outlineLevel="0" collapsed="false">
      <c r="B146" s="0" t="s">
        <v>66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67</v>
      </c>
      <c r="C147" s="0" t="s">
        <v>35</v>
      </c>
      <c r="D147" s="10" t="n">
        <f aca="false">F43</f>
        <v>69467.68</v>
      </c>
      <c r="E147" s="18" t="n">
        <f aca="false">D147/$D$137</f>
        <v>0.002</v>
      </c>
    </row>
    <row r="148" customFormat="false" ht="15" hidden="false" customHeight="false" outlineLevel="0" collapsed="false">
      <c r="B148" s="0" t="s">
        <v>68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69</v>
      </c>
      <c r="C149" s="0" t="s">
        <v>36</v>
      </c>
      <c r="D149" s="10" t="n">
        <f aca="false">F47</f>
        <v>281951.8</v>
      </c>
      <c r="E149" s="18" t="n">
        <f aca="false">D149/$D$137</f>
        <v>0.00811749579084835</v>
      </c>
    </row>
    <row r="150" customFormat="false" ht="15" hidden="false" customHeight="false" outlineLevel="0" collapsed="false">
      <c r="B150" s="0" t="s">
        <v>70</v>
      </c>
      <c r="C150" s="0" t="s">
        <v>71</v>
      </c>
      <c r="D150" s="10" t="n">
        <f aca="false">F49</f>
        <v>140300</v>
      </c>
      <c r="E150" s="18" t="n">
        <f aca="false">D150/$D$137</f>
        <v>0.00403928848638676</v>
      </c>
    </row>
    <row r="151" customFormat="false" ht="15" hidden="false" customHeight="false" outlineLevel="0" collapsed="false">
      <c r="B151" s="0" t="s">
        <v>72</v>
      </c>
      <c r="C151" s="0" t="s">
        <v>73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74</v>
      </c>
      <c r="C152" s="0" t="s">
        <v>45</v>
      </c>
      <c r="D152" s="10" t="n">
        <f aca="false">F53</f>
        <v>524354.5</v>
      </c>
      <c r="E152" s="18" t="n">
        <f aca="false">D152/$D$137</f>
        <v>0.0150963584792237</v>
      </c>
    </row>
    <row r="153" customFormat="false" ht="15" hidden="false" customHeight="false" outlineLevel="0" collapsed="false">
      <c r="B153" s="0" t="s">
        <v>75</v>
      </c>
      <c r="C153" s="0" t="s">
        <v>76</v>
      </c>
      <c r="D153" s="10" t="n">
        <f aca="false">F56</f>
        <v>13442346.46</v>
      </c>
      <c r="E153" s="18" t="n">
        <f aca="false">D153/$D$137</f>
        <v>0.38701008756878</v>
      </c>
    </row>
    <row r="154" customFormat="false" ht="15" hidden="false" customHeight="false" outlineLevel="0" collapsed="false">
      <c r="B154" s="0" t="s">
        <v>77</v>
      </c>
      <c r="C154" s="0" t="s">
        <v>50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78</v>
      </c>
      <c r="D155" s="13" t="n">
        <f aca="false">D145+D146+D147+D148+D149+D150+D151-D152-D153-D154</f>
        <v>-331696.424000001</v>
      </c>
      <c r="E155" s="19" t="n">
        <f aca="false">D155/D137</f>
        <v>-0.00954966177076881</v>
      </c>
    </row>
    <row r="156" customFormat="false" ht="15" hidden="false" customHeight="false" outlineLevel="0" collapsed="false">
      <c r="C156" s="0" t="s">
        <v>79</v>
      </c>
      <c r="D156" s="10" t="n">
        <f aca="false">JUL26!D155</f>
        <v>-237613.999999998</v>
      </c>
      <c r="E156" s="17" t="n">
        <f aca="false">JUL26!E155</f>
        <v>-0.00686856832319676</v>
      </c>
    </row>
    <row r="160" customFormat="false" ht="15" hidden="false" customHeight="false" outlineLevel="0" collapsed="false">
      <c r="B160" s="12" t="s">
        <v>80</v>
      </c>
    </row>
    <row r="162" customFormat="false" ht="15" hidden="false" customHeight="false" outlineLevel="0" collapsed="false">
      <c r="B162" s="12" t="s">
        <v>81</v>
      </c>
    </row>
    <row r="163" customFormat="false" ht="15" hidden="false" customHeight="false" outlineLevel="0" collapsed="false">
      <c r="B163" s="0" t="s">
        <v>82</v>
      </c>
    </row>
    <row r="164" customFormat="false" ht="15" hidden="false" customHeight="false" outlineLevel="0" collapsed="false">
      <c r="B164" s="12" t="s">
        <v>83</v>
      </c>
    </row>
    <row r="165" customFormat="false" ht="15" hidden="false" customHeight="false" outlineLevel="0" collapsed="false">
      <c r="B165" s="0" t="s">
        <v>84</v>
      </c>
    </row>
    <row r="166" customFormat="false" ht="15" hidden="false" customHeight="false" outlineLevel="0" collapsed="false">
      <c r="B166" s="12" t="s">
        <v>85</v>
      </c>
    </row>
    <row r="167" customFormat="false" ht="15" hidden="false" customHeight="false" outlineLevel="0" collapsed="false">
      <c r="B167" s="0" t="s">
        <v>86</v>
      </c>
    </row>
    <row r="168" customFormat="false" ht="15" hidden="false" customHeight="false" outlineLevel="0" collapsed="false">
      <c r="B168" s="12" t="s">
        <v>87</v>
      </c>
    </row>
    <row r="169" customFormat="false" ht="15" hidden="false" customHeight="false" outlineLevel="0" collapsed="false">
      <c r="B169" s="0" t="s">
        <v>88</v>
      </c>
    </row>
    <row r="170" customFormat="false" ht="15" hidden="false" customHeight="false" outlineLevel="0" collapsed="false">
      <c r="B170" s="12" t="s">
        <v>89</v>
      </c>
    </row>
    <row r="171" customFormat="false" ht="15" hidden="false" customHeight="false" outlineLevel="0" collapsed="false">
      <c r="B171" s="0" t="s">
        <v>90</v>
      </c>
    </row>
    <row r="172" customFormat="false" ht="15" hidden="false" customHeight="false" outlineLevel="0" collapsed="false">
      <c r="B172" s="12" t="s">
        <v>91</v>
      </c>
    </row>
    <row r="173" customFormat="false" ht="15" hidden="false" customHeight="false" outlineLevel="0" collapsed="false">
      <c r="B173" s="0" t="s">
        <v>92</v>
      </c>
    </row>
    <row r="174" customFormat="false" ht="15" hidden="false" customHeight="false" outlineLevel="0" collapsed="false">
      <c r="B174" s="12" t="s">
        <v>93</v>
      </c>
    </row>
    <row r="175" customFormat="false" ht="15" hidden="false" customHeight="false" outlineLevel="0" collapsed="false">
      <c r="B175" s="0" t="s">
        <v>94</v>
      </c>
    </row>
    <row r="176" customFormat="false" ht="15" hidden="false" customHeight="false" outlineLevel="0" collapsed="false">
      <c r="B176" s="12" t="s">
        <v>95</v>
      </c>
    </row>
    <row r="177" customFormat="false" ht="15" hidden="false" customHeight="false" outlineLevel="0" collapsed="false">
      <c r="B177" s="0" t="s">
        <v>96</v>
      </c>
    </row>
    <row r="178" customFormat="false" ht="15" hidden="false" customHeight="false" outlineLevel="0" collapsed="false">
      <c r="B178" s="12" t="s">
        <v>97</v>
      </c>
    </row>
    <row r="179" customFormat="false" ht="15" hidden="false" customHeight="false" outlineLevel="0" collapsed="false">
      <c r="B179" s="0" t="s">
        <v>98</v>
      </c>
    </row>
    <row r="180" customFormat="false" ht="15" hidden="false" customHeight="false" outlineLevel="0" collapsed="false">
      <c r="B180" s="12" t="s">
        <v>99</v>
      </c>
    </row>
    <row r="181" customFormat="false" ht="15" hidden="false" customHeight="false" outlineLevel="0" collapsed="false">
      <c r="B181" s="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6" min="4" style="0" width="18"/>
    <col collapsed="false" customWidth="true" hidden="false" outlineLevel="0" max="7" min="7" style="0" width="44"/>
    <col collapsed="false" customWidth="true" hidden="false" outlineLevel="0" max="9" min="8" style="0" width="12"/>
    <col collapsed="false" customWidth="true" hidden="false" outlineLevel="0" max="10" min="10" style="0" width="18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0" t="s">
        <v>5</v>
      </c>
    </row>
    <row r="4" customFormat="false" ht="15" hidden="false" customHeight="false" outlineLevel="0" collapsed="false">
      <c r="B4" s="0" t="s">
        <v>6</v>
      </c>
    </row>
    <row r="18" customFormat="false" ht="15" hidden="false" customHeight="false" outlineLevel="0" collapsed="false">
      <c r="B18" s="3" t="s">
        <v>7</v>
      </c>
    </row>
    <row r="19" customFormat="false" ht="15" hidden="false" customHeight="false" outlineLevel="0" collapsed="false">
      <c r="B19" s="4" t="s">
        <v>8</v>
      </c>
    </row>
    <row r="20" customFormat="false" ht="15" hidden="false" customHeight="false" outlineLevel="0" collapsed="false">
      <c r="B20" s="5" t="s">
        <v>9</v>
      </c>
    </row>
    <row r="21" customFormat="false" ht="15" hidden="false" customHeight="false" outlineLevel="0" collapsed="false">
      <c r="B21" s="6" t="s">
        <v>10</v>
      </c>
    </row>
    <row r="24" customFormat="false" ht="15" hidden="false" customHeight="false" outlineLevel="0" collapsed="false">
      <c r="B24" s="0" t="s">
        <v>11</v>
      </c>
      <c r="D24" s="3" t="s">
        <v>12</v>
      </c>
    </row>
    <row r="26" customFormat="false" ht="15" hidden="false" customHeight="false" outlineLevel="0" collapsed="false">
      <c r="B26" s="0" t="s">
        <v>13</v>
      </c>
      <c r="E26" s="7" t="n">
        <v>46266</v>
      </c>
    </row>
    <row r="28" customFormat="false" ht="15" hidden="false" customHeight="false" outlineLevel="0" collapsed="false">
      <c r="B28" s="0" t="s">
        <v>14</v>
      </c>
      <c r="J28" s="8" t="n">
        <v>34873280</v>
      </c>
    </row>
    <row r="29" customFormat="false" ht="15" hidden="false" customHeight="false" outlineLevel="0" collapsed="false">
      <c r="B29" s="0" t="s">
        <v>15</v>
      </c>
      <c r="J29" s="3" t="s">
        <v>121</v>
      </c>
    </row>
    <row r="31" customFormat="false" ht="15" hidden="false" customHeight="false" outlineLevel="0" collapsed="false">
      <c r="B31" s="0" t="s">
        <v>17</v>
      </c>
      <c r="F31" s="9" t="n">
        <v>0.0468</v>
      </c>
    </row>
    <row r="33" customFormat="false" ht="15" hidden="false" customHeight="false" outlineLevel="0" collapsed="false">
      <c r="B33" s="0" t="s">
        <v>18</v>
      </c>
      <c r="F33" s="9" t="n">
        <v>0.059</v>
      </c>
    </row>
    <row r="35" customFormat="false" ht="15" hidden="false" customHeight="false" outlineLevel="0" collapsed="false">
      <c r="B35" s="0" t="s">
        <v>19</v>
      </c>
      <c r="F35" s="9" t="n">
        <v>0.5</v>
      </c>
    </row>
    <row r="37" customFormat="false" ht="15" hidden="false" customHeight="false" outlineLevel="0" collapsed="false">
      <c r="B37" s="0" t="s">
        <v>20</v>
      </c>
      <c r="F37" s="9" t="n">
        <v>0.4374</v>
      </c>
    </row>
    <row r="39" customFormat="false" ht="15" hidden="false" customHeight="false" outlineLevel="0" collapsed="false">
      <c r="B39" s="0" t="s">
        <v>21</v>
      </c>
      <c r="F39" s="10" t="n">
        <f aca="false">F37*J28</f>
        <v>15253572.672</v>
      </c>
    </row>
    <row r="41" customFormat="false" ht="15" hidden="false" customHeight="false" outlineLevel="0" collapsed="false">
      <c r="B41" s="0" t="s">
        <v>22</v>
      </c>
      <c r="F41" s="10" t="n">
        <f aca="false">E74</f>
        <v>0</v>
      </c>
    </row>
    <row r="43" customFormat="false" ht="15" hidden="false" customHeight="false" outlineLevel="0" collapsed="false">
      <c r="B43" s="0" t="s">
        <v>23</v>
      </c>
      <c r="F43" s="10" t="n">
        <f aca="false">E88</f>
        <v>69746.56</v>
      </c>
    </row>
    <row r="45" customFormat="false" ht="15" hidden="false" customHeight="false" outlineLevel="0" collapsed="false">
      <c r="B45" s="0" t="s">
        <v>24</v>
      </c>
      <c r="F45" s="10" t="n">
        <f aca="false">J74</f>
        <v>0</v>
      </c>
    </row>
    <row r="47" customFormat="false" ht="15" hidden="false" customHeight="false" outlineLevel="0" collapsed="false">
      <c r="B47" s="0" t="s">
        <v>25</v>
      </c>
      <c r="F47" s="10" t="n">
        <f aca="false">J88</f>
        <v>315914.32</v>
      </c>
    </row>
    <row r="49" customFormat="false" ht="15" hidden="false" customHeight="false" outlineLevel="0" collapsed="false">
      <c r="B49" s="0" t="s">
        <v>26</v>
      </c>
      <c r="F49" s="10" t="n">
        <f aca="false">E102</f>
        <v>140300</v>
      </c>
    </row>
    <row r="51" customFormat="false" ht="15" hidden="false" customHeight="false" outlineLevel="0" collapsed="false">
      <c r="B51" s="0" t="s">
        <v>27</v>
      </c>
      <c r="F51" s="10" t="n">
        <f aca="false">J102</f>
        <v>0</v>
      </c>
    </row>
    <row r="53" customFormat="false" ht="15" hidden="false" customHeight="false" outlineLevel="0" collapsed="false">
      <c r="B53" s="0" t="s">
        <v>28</v>
      </c>
      <c r="F53" s="10" t="n">
        <f aca="false">E115</f>
        <v>491959.01</v>
      </c>
    </row>
    <row r="55" customFormat="false" ht="15" hidden="false" customHeight="false" outlineLevel="0" collapsed="false">
      <c r="B55" s="0" t="s">
        <v>29</v>
      </c>
      <c r="F55" s="8" t="n">
        <v>15716910.03</v>
      </c>
    </row>
    <row r="56" customFormat="false" ht="15" hidden="false" customHeight="false" outlineLevel="0" collapsed="false">
      <c r="B56" s="0" t="s">
        <v>30</v>
      </c>
      <c r="F56" s="10" t="n">
        <f aca="false">F55-J115</f>
        <v>15716910.03</v>
      </c>
    </row>
    <row r="58" customFormat="false" ht="15" hidden="false" customHeight="false" outlineLevel="0" collapsed="false">
      <c r="B58" s="0" t="s">
        <v>31</v>
      </c>
      <c r="F58" s="10" t="n">
        <f aca="false">E129</f>
        <v>0</v>
      </c>
    </row>
    <row r="63" customFormat="false" ht="15" hidden="false" customHeight="false" outlineLevel="0" collapsed="false">
      <c r="B63" s="11" t="s">
        <v>32</v>
      </c>
      <c r="G63" s="11" t="s">
        <v>33</v>
      </c>
    </row>
    <row r="74" customFormat="false" ht="15" hidden="false" customHeight="false" outlineLevel="0" collapsed="false">
      <c r="B74" s="12" t="s">
        <v>34</v>
      </c>
      <c r="E74" s="13" t="n">
        <f aca="false">SUM(E64:E73)</f>
        <v>0</v>
      </c>
      <c r="G74" s="12" t="s">
        <v>34</v>
      </c>
      <c r="J74" s="13" t="n">
        <f aca="false">SUM(J64:J73)</f>
        <v>0</v>
      </c>
    </row>
    <row r="77" customFormat="false" ht="15" hidden="false" customHeight="false" outlineLevel="0" collapsed="false">
      <c r="B77" s="11" t="s">
        <v>35</v>
      </c>
      <c r="G77" s="11" t="s">
        <v>36</v>
      </c>
    </row>
    <row r="78" customFormat="false" ht="15" hidden="false" customHeight="false" outlineLevel="0" collapsed="false">
      <c r="B78" s="0" t="s">
        <v>139</v>
      </c>
      <c r="E78" s="14" t="n">
        <v>69746.56</v>
      </c>
      <c r="G78" s="15" t="s">
        <v>122</v>
      </c>
      <c r="J78" s="14" t="n">
        <v>100438.69</v>
      </c>
    </row>
    <row r="79" customFormat="false" ht="15" hidden="false" customHeight="false" outlineLevel="0" collapsed="false">
      <c r="G79" s="0" t="s">
        <v>123</v>
      </c>
      <c r="J79" s="14" t="n">
        <v>53666.6</v>
      </c>
    </row>
    <row r="80" customFormat="false" ht="15" hidden="false" customHeight="false" outlineLevel="0" collapsed="false">
      <c r="G80" s="0" t="s">
        <v>124</v>
      </c>
      <c r="J80" s="14" t="n">
        <v>108308.11</v>
      </c>
    </row>
    <row r="81" customFormat="false" ht="15" hidden="false" customHeight="false" outlineLevel="0" collapsed="false">
      <c r="G81" s="0" t="s">
        <v>125</v>
      </c>
      <c r="J81" s="14" t="n">
        <v>53500.92</v>
      </c>
    </row>
    <row r="88" customFormat="false" ht="15" hidden="false" customHeight="false" outlineLevel="0" collapsed="false">
      <c r="B88" s="12" t="s">
        <v>34</v>
      </c>
      <c r="E88" s="13" t="n">
        <f aca="false">SUM(E78:E87)</f>
        <v>69746.56</v>
      </c>
      <c r="G88" s="12" t="s">
        <v>34</v>
      </c>
      <c r="J88" s="13" t="n">
        <f aca="false">SUM(J78:J87)</f>
        <v>315914.32</v>
      </c>
    </row>
    <row r="91" customFormat="false" ht="15" hidden="false" customHeight="false" outlineLevel="0" collapsed="false">
      <c r="B91" s="11" t="s">
        <v>40</v>
      </c>
      <c r="G91" s="11" t="s">
        <v>41</v>
      </c>
    </row>
    <row r="92" customFormat="false" ht="15" hidden="false" customHeight="false" outlineLevel="0" collapsed="false">
      <c r="B92" s="0" t="s">
        <v>42</v>
      </c>
      <c r="E92" s="14" t="n">
        <v>9800</v>
      </c>
    </row>
    <row r="93" customFormat="false" ht="15" hidden="false" customHeight="false" outlineLevel="0" collapsed="false">
      <c r="B93" s="0" t="s">
        <v>43</v>
      </c>
      <c r="E93" s="14" t="n">
        <v>38500</v>
      </c>
    </row>
    <row r="94" customFormat="false" ht="15" hidden="false" customHeight="false" outlineLevel="0" collapsed="false">
      <c r="B94" s="0" t="s">
        <v>44</v>
      </c>
      <c r="E94" s="14" t="n">
        <v>92000</v>
      </c>
    </row>
    <row r="102" customFormat="false" ht="15" hidden="false" customHeight="false" outlineLevel="0" collapsed="false">
      <c r="B102" s="12" t="s">
        <v>34</v>
      </c>
      <c r="E102" s="13" t="n">
        <f aca="false">SUM(E92:E101)</f>
        <v>140300</v>
      </c>
      <c r="G102" s="12" t="s">
        <v>34</v>
      </c>
      <c r="J102" s="13" t="n">
        <f aca="false">SUM(J92:J101)</f>
        <v>0</v>
      </c>
    </row>
    <row r="105" customFormat="false" ht="15" hidden="false" customHeight="false" outlineLevel="0" collapsed="false">
      <c r="B105" s="11" t="s">
        <v>45</v>
      </c>
      <c r="G105" s="11" t="s">
        <v>46</v>
      </c>
    </row>
    <row r="106" customFormat="false" ht="15" hidden="false" customHeight="false" outlineLevel="0" collapsed="false">
      <c r="B106" s="0" t="s">
        <v>148</v>
      </c>
      <c r="E106" s="14" t="n">
        <v>102811.55</v>
      </c>
    </row>
    <row r="107" customFormat="false" ht="15" hidden="false" customHeight="false" outlineLevel="0" collapsed="false">
      <c r="B107" s="0" t="s">
        <v>149</v>
      </c>
      <c r="E107" s="14" t="n">
        <v>143729.22</v>
      </c>
    </row>
    <row r="108" customFormat="false" ht="15" hidden="false" customHeight="false" outlineLevel="0" collapsed="false">
      <c r="B108" s="0" t="s">
        <v>150</v>
      </c>
      <c r="E108" s="14" t="n">
        <v>123087.39</v>
      </c>
    </row>
    <row r="109" customFormat="false" ht="15" hidden="false" customHeight="false" outlineLevel="0" collapsed="false">
      <c r="B109" s="0" t="s">
        <v>151</v>
      </c>
      <c r="E109" s="14" t="n">
        <v>122330.85</v>
      </c>
    </row>
    <row r="115" customFormat="false" ht="15" hidden="false" customHeight="false" outlineLevel="0" collapsed="false">
      <c r="B115" s="12" t="s">
        <v>34</v>
      </c>
      <c r="E115" s="13" t="n">
        <f aca="false">SUM(E106:E114)</f>
        <v>491959.01</v>
      </c>
      <c r="G115" s="12" t="s">
        <v>34</v>
      </c>
      <c r="J115" s="13" t="n">
        <f aca="false">SUM(J106:J114)</f>
        <v>0</v>
      </c>
    </row>
    <row r="118" customFormat="false" ht="15" hidden="false" customHeight="false" outlineLevel="0" collapsed="false">
      <c r="B118" s="11" t="s">
        <v>50</v>
      </c>
    </row>
    <row r="129" customFormat="false" ht="15" hidden="false" customHeight="false" outlineLevel="0" collapsed="false">
      <c r="B129" s="12" t="s">
        <v>34</v>
      </c>
      <c r="E129" s="13" t="n">
        <f aca="false">SUM(E119:E128)</f>
        <v>0</v>
      </c>
    </row>
    <row r="132" customFormat="false" ht="17.35" hidden="false" customHeight="false" outlineLevel="0" collapsed="false">
      <c r="B132" s="1" t="s">
        <v>51</v>
      </c>
    </row>
    <row r="135" customFormat="false" ht="15" hidden="false" customHeight="false" outlineLevel="0" collapsed="false">
      <c r="G135" s="12" t="s">
        <v>52</v>
      </c>
    </row>
    <row r="136" customFormat="false" ht="15" hidden="false" customHeight="false" outlineLevel="0" collapsed="false">
      <c r="C136" s="0" t="s">
        <v>53</v>
      </c>
      <c r="D136" s="4" t="str">
        <f aca="false">D24</f>
        <v>JANGADA</v>
      </c>
      <c r="G136" s="15" t="s">
        <v>54</v>
      </c>
      <c r="J136" s="8" t="n">
        <v>2168618.02</v>
      </c>
    </row>
    <row r="137" customFormat="false" ht="15" hidden="false" customHeight="false" outlineLevel="0" collapsed="false">
      <c r="C137" s="0" t="s">
        <v>55</v>
      </c>
      <c r="D137" s="10" t="n">
        <f aca="false">J28</f>
        <v>34873280</v>
      </c>
      <c r="G137" s="15" t="s">
        <v>56</v>
      </c>
      <c r="J137" s="8" t="n">
        <v>2274563.57</v>
      </c>
    </row>
    <row r="138" customFormat="false" ht="15" hidden="false" customHeight="false" outlineLevel="0" collapsed="false">
      <c r="C138" s="0" t="s">
        <v>15</v>
      </c>
      <c r="D138" s="4" t="str">
        <f aca="false">J29</f>
        <v>Orçamento executivo</v>
      </c>
      <c r="G138" s="15" t="s">
        <v>57</v>
      </c>
      <c r="J138" s="10" t="n">
        <f aca="false">J137-J136</f>
        <v>105945.55</v>
      </c>
    </row>
    <row r="139" customFormat="false" ht="15" hidden="false" customHeight="false" outlineLevel="0" collapsed="false">
      <c r="C139" s="0" t="s">
        <v>58</v>
      </c>
      <c r="D139" s="16" t="n">
        <f aca="false">E26</f>
        <v>46266</v>
      </c>
      <c r="G139" s="15" t="s">
        <v>59</v>
      </c>
    </row>
    <row r="140" customFormat="false" ht="15" hidden="false" customHeight="false" outlineLevel="0" collapsed="false">
      <c r="C140" s="0" t="s">
        <v>60</v>
      </c>
      <c r="D140" s="17" t="n">
        <f aca="false">F31</f>
        <v>0.0468</v>
      </c>
    </row>
    <row r="141" customFormat="false" ht="15" hidden="false" customHeight="false" outlineLevel="0" collapsed="false">
      <c r="C141" s="0" t="s">
        <v>61</v>
      </c>
      <c r="D141" s="17" t="n">
        <f aca="false">F33</f>
        <v>0.059</v>
      </c>
    </row>
    <row r="142" customFormat="false" ht="15" hidden="false" customHeight="false" outlineLevel="0" collapsed="false">
      <c r="C142" s="0" t="s">
        <v>62</v>
      </c>
      <c r="D142" s="17" t="n">
        <f aca="false">F35</f>
        <v>0.5</v>
      </c>
    </row>
    <row r="143" customFormat="false" ht="15" hidden="false" customHeight="false" outlineLevel="0" collapsed="false">
      <c r="C143" s="0" t="s">
        <v>63</v>
      </c>
      <c r="D143" s="17" t="n">
        <f aca="false">F37</f>
        <v>0.4374</v>
      </c>
    </row>
    <row r="145" customFormat="false" ht="15" hidden="false" customHeight="false" outlineLevel="0" collapsed="false">
      <c r="B145" s="0" t="s">
        <v>64</v>
      </c>
      <c r="C145" s="0" t="s">
        <v>65</v>
      </c>
      <c r="D145" s="10" t="n">
        <f aca="false">F39</f>
        <v>15253572.672</v>
      </c>
      <c r="E145" s="18" t="n">
        <f aca="false">D145/$D$137</f>
        <v>0.4374</v>
      </c>
    </row>
    <row r="146" customFormat="false" ht="15" hidden="false" customHeight="false" outlineLevel="0" collapsed="false">
      <c r="B146" s="0" t="s">
        <v>66</v>
      </c>
      <c r="C146" s="0" t="s">
        <v>32</v>
      </c>
      <c r="D146" s="10" t="n">
        <f aca="false">F41</f>
        <v>0</v>
      </c>
      <c r="E146" s="18" t="n">
        <f aca="false">D146/$D$137</f>
        <v>0</v>
      </c>
    </row>
    <row r="147" customFormat="false" ht="15" hidden="false" customHeight="false" outlineLevel="0" collapsed="false">
      <c r="B147" s="0" t="s">
        <v>67</v>
      </c>
      <c r="C147" s="0" t="s">
        <v>35</v>
      </c>
      <c r="D147" s="10" t="n">
        <f aca="false">F43</f>
        <v>69746.56</v>
      </c>
      <c r="E147" s="18" t="n">
        <f aca="false">D147/$D$137</f>
        <v>0.002</v>
      </c>
    </row>
    <row r="148" customFormat="false" ht="15" hidden="false" customHeight="false" outlineLevel="0" collapsed="false">
      <c r="B148" s="0" t="s">
        <v>68</v>
      </c>
      <c r="C148" s="0" t="s">
        <v>33</v>
      </c>
      <c r="D148" s="10" t="n">
        <f aca="false">F45</f>
        <v>0</v>
      </c>
      <c r="E148" s="18" t="n">
        <f aca="false">D148/$D$137</f>
        <v>0</v>
      </c>
    </row>
    <row r="149" customFormat="false" ht="15" hidden="false" customHeight="false" outlineLevel="0" collapsed="false">
      <c r="B149" s="0" t="s">
        <v>69</v>
      </c>
      <c r="C149" s="0" t="s">
        <v>36</v>
      </c>
      <c r="D149" s="10" t="n">
        <f aca="false">F47</f>
        <v>315914.32</v>
      </c>
      <c r="E149" s="18" t="n">
        <f aca="false">D149/$D$137</f>
        <v>0.00905892190238486</v>
      </c>
    </row>
    <row r="150" customFormat="false" ht="15" hidden="false" customHeight="false" outlineLevel="0" collapsed="false">
      <c r="B150" s="0" t="s">
        <v>70</v>
      </c>
      <c r="C150" s="0" t="s">
        <v>71</v>
      </c>
      <c r="D150" s="10" t="n">
        <f aca="false">F49</f>
        <v>140300</v>
      </c>
      <c r="E150" s="18" t="n">
        <f aca="false">D150/$D$137</f>
        <v>0.00402313748520357</v>
      </c>
    </row>
    <row r="151" customFormat="false" ht="15" hidden="false" customHeight="false" outlineLevel="0" collapsed="false">
      <c r="B151" s="0" t="s">
        <v>72</v>
      </c>
      <c r="C151" s="0" t="s">
        <v>73</v>
      </c>
      <c r="D151" s="10" t="n">
        <f aca="false">F51</f>
        <v>0</v>
      </c>
      <c r="E151" s="18" t="n">
        <f aca="false">D151/$D$137</f>
        <v>0</v>
      </c>
    </row>
    <row r="152" customFormat="false" ht="15" hidden="false" customHeight="false" outlineLevel="0" collapsed="false">
      <c r="B152" s="0" t="s">
        <v>74</v>
      </c>
      <c r="C152" s="0" t="s">
        <v>45</v>
      </c>
      <c r="D152" s="10" t="n">
        <f aca="false">F53</f>
        <v>491959.01</v>
      </c>
      <c r="E152" s="18" t="n">
        <f aca="false">D152/$D$137</f>
        <v>0.0141070472866332</v>
      </c>
    </row>
    <row r="153" customFormat="false" ht="15" hidden="false" customHeight="false" outlineLevel="0" collapsed="false">
      <c r="B153" s="0" t="s">
        <v>75</v>
      </c>
      <c r="C153" s="0" t="s">
        <v>76</v>
      </c>
      <c r="D153" s="10" t="n">
        <f aca="false">F56</f>
        <v>15716910.03</v>
      </c>
      <c r="E153" s="18" t="n">
        <f aca="false">D153/$D$137</f>
        <v>0.450686314278439</v>
      </c>
    </row>
    <row r="154" customFormat="false" ht="15" hidden="false" customHeight="false" outlineLevel="0" collapsed="false">
      <c r="B154" s="0" t="s">
        <v>77</v>
      </c>
      <c r="C154" s="0" t="s">
        <v>50</v>
      </c>
      <c r="D154" s="10" t="n">
        <f aca="false">F58</f>
        <v>0</v>
      </c>
      <c r="E154" s="18" t="n">
        <f aca="false">D154/$D$137</f>
        <v>0</v>
      </c>
    </row>
    <row r="155" customFormat="false" ht="15" hidden="false" customHeight="false" outlineLevel="0" collapsed="false">
      <c r="C155" s="12" t="s">
        <v>78</v>
      </c>
      <c r="D155" s="13" t="n">
        <f aca="false">D145+D146+D147+D148+D149+D150+D151-D152-D153-D154</f>
        <v>-429335.487999998</v>
      </c>
      <c r="E155" s="19" t="n">
        <f aca="false">D155/D137</f>
        <v>-0.0123113021774837</v>
      </c>
    </row>
    <row r="156" customFormat="false" ht="15" hidden="false" customHeight="false" outlineLevel="0" collapsed="false">
      <c r="C156" s="0" t="s">
        <v>79</v>
      </c>
      <c r="D156" s="10" t="n">
        <f aca="false">AGO26!D155</f>
        <v>-331696.424000001</v>
      </c>
      <c r="E156" s="17" t="n">
        <f aca="false">AGO26!E155</f>
        <v>-0.00954966177076881</v>
      </c>
    </row>
    <row r="160" customFormat="false" ht="15" hidden="false" customHeight="false" outlineLevel="0" collapsed="false">
      <c r="B160" s="12" t="s">
        <v>80</v>
      </c>
    </row>
    <row r="162" customFormat="false" ht="15" hidden="false" customHeight="false" outlineLevel="0" collapsed="false">
      <c r="B162" s="12" t="s">
        <v>81</v>
      </c>
    </row>
    <row r="163" customFormat="false" ht="15" hidden="false" customHeight="false" outlineLevel="0" collapsed="false">
      <c r="B163" s="0" t="s">
        <v>82</v>
      </c>
    </row>
    <row r="164" customFormat="false" ht="15" hidden="false" customHeight="false" outlineLevel="0" collapsed="false">
      <c r="B164" s="12" t="s">
        <v>83</v>
      </c>
    </row>
    <row r="165" customFormat="false" ht="15" hidden="false" customHeight="false" outlineLevel="0" collapsed="false">
      <c r="B165" s="0" t="s">
        <v>84</v>
      </c>
    </row>
    <row r="166" customFormat="false" ht="15" hidden="false" customHeight="false" outlineLevel="0" collapsed="false">
      <c r="B166" s="12" t="s">
        <v>85</v>
      </c>
    </row>
    <row r="167" customFormat="false" ht="15" hidden="false" customHeight="false" outlineLevel="0" collapsed="false">
      <c r="B167" s="0" t="s">
        <v>86</v>
      </c>
    </row>
    <row r="168" customFormat="false" ht="15" hidden="false" customHeight="false" outlineLevel="0" collapsed="false">
      <c r="B168" s="12" t="s">
        <v>87</v>
      </c>
    </row>
    <row r="169" customFormat="false" ht="15" hidden="false" customHeight="false" outlineLevel="0" collapsed="false">
      <c r="B169" s="0" t="s">
        <v>88</v>
      </c>
    </row>
    <row r="170" customFormat="false" ht="15" hidden="false" customHeight="false" outlineLevel="0" collapsed="false">
      <c r="B170" s="12" t="s">
        <v>89</v>
      </c>
    </row>
    <row r="171" customFormat="false" ht="15" hidden="false" customHeight="false" outlineLevel="0" collapsed="false">
      <c r="B171" s="0" t="s">
        <v>90</v>
      </c>
    </row>
    <row r="172" customFormat="false" ht="15" hidden="false" customHeight="false" outlineLevel="0" collapsed="false">
      <c r="B172" s="12" t="s">
        <v>91</v>
      </c>
    </row>
    <row r="173" customFormat="false" ht="15" hidden="false" customHeight="false" outlineLevel="0" collapsed="false">
      <c r="B173" s="0" t="s">
        <v>92</v>
      </c>
    </row>
    <row r="174" customFormat="false" ht="15" hidden="false" customHeight="false" outlineLevel="0" collapsed="false">
      <c r="B174" s="12" t="s">
        <v>93</v>
      </c>
    </row>
    <row r="175" customFormat="false" ht="15" hidden="false" customHeight="false" outlineLevel="0" collapsed="false">
      <c r="B175" s="0" t="s">
        <v>94</v>
      </c>
    </row>
    <row r="176" customFormat="false" ht="15" hidden="false" customHeight="false" outlineLevel="0" collapsed="false">
      <c r="B176" s="12" t="s">
        <v>95</v>
      </c>
    </row>
    <row r="177" customFormat="false" ht="15" hidden="false" customHeight="false" outlineLevel="0" collapsed="false">
      <c r="B177" s="0" t="s">
        <v>96</v>
      </c>
    </row>
    <row r="178" customFormat="false" ht="15" hidden="false" customHeight="false" outlineLevel="0" collapsed="false">
      <c r="B178" s="12" t="s">
        <v>97</v>
      </c>
    </row>
    <row r="179" customFormat="false" ht="15" hidden="false" customHeight="false" outlineLevel="0" collapsed="false">
      <c r="B179" s="0" t="s">
        <v>98</v>
      </c>
    </row>
    <row r="180" customFormat="false" ht="15" hidden="false" customHeight="false" outlineLevel="0" collapsed="false">
      <c r="B180" s="12" t="s">
        <v>99</v>
      </c>
    </row>
    <row r="181" customFormat="false" ht="15" hidden="false" customHeight="false" outlineLevel="0" collapsed="false">
      <c r="B181" s="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2026-10-28T18:38:10Z</dcterms:created>
  <dc:creator>openpyxl</dc:creator>
  <dc:description/>
  <dc:language>en-US</dc:language>
  <cp:lastModifiedBy/>
  <dcterms:modified xsi:type="dcterms:W3CDTF">2026-10-28T18:38:10Z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