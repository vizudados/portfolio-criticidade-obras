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SET25" sheetId="2" state="visible" r:id="rId4"/>
    <sheet name="OUT25" sheetId="3" state="visible" r:id="rId5"/>
    <sheet name="NOV25" sheetId="4" state="visible" r:id="rId6"/>
    <sheet name="DEZ25" sheetId="5" state="visible" r:id="rId7"/>
    <sheet name="JAN26" sheetId="6" state="visible" r:id="rId8"/>
    <sheet name="FEV26" sheetId="7" state="visible" r:id="rId9"/>
    <sheet name="MAR26" sheetId="8" state="visible" r:id="rId10"/>
    <sheet name="ABR26" sheetId="9" state="visible" r:id="rId11"/>
    <sheet name="MAI26" sheetId="10" state="visible" r:id="rId12"/>
    <sheet name="JUN26" sheetId="11" state="visible" r:id="rId13"/>
    <sheet name="JUL26" sheetId="12" state="visible" r:id="rId14"/>
    <sheet name="AGO26" sheetId="13" state="visible" r:id="rId15"/>
    <sheet name="SET26" sheetId="14" state="visible" r:id="rId16"/>
  </sheets>
  <definedNames>
    <definedName function="false" hidden="false" localSheetId="8" name="_xlnm.Print_Area" vbProcedure="false">ABR26!$A$132:$J$157</definedName>
    <definedName function="false" hidden="false" localSheetId="12" name="_xlnm.Print_Area" vbProcedure="false">AGO26!$A$132:$J$157</definedName>
    <definedName function="false" hidden="false" localSheetId="4" name="_xlnm.Print_Area" vbProcedure="false">DEZ25!$A$132:$J$157</definedName>
    <definedName function="false" hidden="false" localSheetId="6" name="_xlnm.Print_Area" vbProcedure="false">FEV26!$A$132:$J$157</definedName>
    <definedName function="false" hidden="false" localSheetId="5" name="_xlnm.Print_Area" vbProcedure="false">JAN26!$A$132:$J$157</definedName>
    <definedName function="false" hidden="false" localSheetId="11" name="_xlnm.Print_Area" vbProcedure="false">JUL26!$A$132:$J$157</definedName>
    <definedName function="false" hidden="false" localSheetId="10" name="_xlnm.Print_Area" vbProcedure="false">JUN26!$A$132:$J$157</definedName>
    <definedName function="false" hidden="false" localSheetId="9" name="_xlnm.Print_Area" vbProcedure="false">MAI26!$A$132:$J$157</definedName>
    <definedName function="false" hidden="false" localSheetId="7" name="_xlnm.Print_Area" vbProcedure="false">MAR26!$A$132:$J$157</definedName>
    <definedName function="false" hidden="false" localSheetId="3" name="_xlnm.Print_Area" vbProcedure="false">NOV25!$A$132:$J$157</definedName>
    <definedName function="false" hidden="false" localSheetId="2" name="_xlnm.Print_Area" vbProcedure="false">OUT25!$A$132:$J$157</definedName>
    <definedName function="false" hidden="false" localSheetId="1" name="_xlnm.Print_Area" vbProcedure="false">SET25!$A$132:$J$157</definedName>
    <definedName function="false" hidden="false" localSheetId="13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<sst xmlns="http://schemas.openxmlformats.org/spreadsheetml/2006/main" count="1557" uniqueCount="176">
  <si>
    <t xml:space="preserve">Análise Crítica · REDINHA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</si>
  <si>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</si>
  <si>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</si>
  <si>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</si>
  <si>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</si>
  <si>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</si>
  <si>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</si>
  <si>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</si>
  <si>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</si>
  <si>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</si>
  <si>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</si>
  <si>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</si>
  <si>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REDINHA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</si>
  <si>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</si>
  <si>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</si>
  <si>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</si>
  <si>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executivo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</si>
  <si>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</si>
  <si>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</si>
  <si>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</si>
  <si>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</si>
  <si>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</si>
  <si>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</si>
  <si>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</si>
  <si>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</si>
  <si>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</si>
  <si>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</si>
  <si>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</si>
  <si>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</si>
  <si>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</si>
  <si>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</si>
  <si>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</si>
  <si>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</si>
  <si>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</si>
  <si>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Total</t>
  </si>
  <si>
    <t xml:space="preserve">Adiantamento de serviços não medidos</t>
  </si>
  <si>
    <t xml:space="preserve">Estoque de materiais</t>
  </si>
  <si>
    <t xml:space="preserve">Aço CA-50/60 para lajes</t>
  </si>
  <si>
    <t xml:space="preserve">Formas e escoramento</t>
  </si>
  <si>
    <t xml:space="preserve">Blocos cerâmicos</t>
  </si>
  <si>
    <t xml:space="preserve">Material hidrossanitário</t>
  </si>
  <si>
    <t xml:space="preserve">Equipamentos comprados</t>
  </si>
  <si>
    <t xml:space="preserve">Receitas de personalizações</t>
  </si>
  <si>
    <t xml:space="preserve">Betoneira 400 L</t>
  </si>
  <si>
    <t xml:space="preserve">Guincho de coluna</t>
  </si>
  <si>
    <t xml:space="preserve">Andaime fachadeiro (lote)</t>
  </si>
  <si>
    <t xml:space="preserve">Serra circular de bancada</t>
  </si>
  <si>
    <t xml:space="preserve">Contas a pagar dos medidos</t>
  </si>
  <si>
    <t xml:space="preserve">Itens apontados irregularmente no relatório</t>
  </si>
  <si>
    <t xml:space="preserve">Medição da empreiteira de estrutura · NF 1004</t>
  </si>
  <si>
    <t xml:space="preserve">Concreto usinado da laje · NF 31861</t>
  </si>
  <si>
    <t xml:space="preserve">Aluguel de escoramento · NF 16681</t>
  </si>
  <si>
    <t xml:space="preserve">Encargos e INSS do mês · NF 83635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</si>
  <si>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</si>
  <si>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</si>
  <si>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</si>
  <si>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</si>
  <si>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</si>
  <si>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</si>
  <si>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</si>
  <si>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</si>
  <si>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</si>
  <si>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</si>
  <si>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</si>
  <si>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</si>
  <si>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</si>
  <si>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</si>
  <si>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</si>
  <si>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</si>
  <si>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</si>
  <si>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</si>
  <si>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</si>
  <si>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</si>
  <si>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</si>
  <si>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</si>
  <si>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</si>
  <si>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</si>
  <si>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</si>
  <si>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</si>
  <si>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</si>
  <si>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</si>
  <si>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</si>
  <si>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</si>
  <si>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</si>
  <si>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</si>
  <si>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</si>
  <si>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</si>
  <si>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</si>
  <si>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</si>
  <si>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</si>
  <si>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</si>
  <si>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</si>
  <si>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</si>
  <si>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</si>
  <si>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</si>
  <si>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</si>
  <si>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</si>
  <si>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</si>
  <si>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</si>
  <si>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</si>
  <si>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</si>
  <si>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</si>
  <si>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</si>
  <si>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</si>
  <si>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Medição da empreiteira de estrutura · NF 61857</t>
  </si>
  <si>
    <t xml:space="preserve">Concreto usinado da laje · NF 55029</t>
  </si>
  <si>
    <t xml:space="preserve">Aluguel de escoramento · NF 8862</t>
  </si>
  <si>
    <t xml:space="preserve">Encargos e INSS do mês · NF 51773</t>
  </si>
  <si>
    <t xml:space="preserve">Medição da empreiteira de estrutura · NF 49110</t>
  </si>
  <si>
    <t xml:space="preserve">Concreto usinado da laje · NF 76248</t>
  </si>
  <si>
    <t xml:space="preserve">Aluguel de escoramento · NF 53222</t>
  </si>
  <si>
    <t xml:space="preserve">Encargos e INSS do mês · NF 43920</t>
  </si>
  <si>
    <t xml:space="preserve">Aumento de efetivo para recuperar o cronograma.</t>
  </si>
  <si>
    <t xml:space="preserve">Argamassa industrializada</t>
  </si>
  <si>
    <t xml:space="preserve">Material elétrico (fios e cabos)</t>
  </si>
  <si>
    <t xml:space="preserve">Revestimento cerâmico (compra antecipada)</t>
  </si>
  <si>
    <t xml:space="preserve">Medição da empreiteira de alvenaria · NF 99861</t>
  </si>
  <si>
    <t xml:space="preserve">Medição de instalações hidráulicas · NF 34454</t>
  </si>
  <si>
    <t xml:space="preserve">Medição de instalações elétricas · NF 67225</t>
  </si>
  <si>
    <t xml:space="preserve">Encargos e INSS do mês · NF 93858</t>
  </si>
  <si>
    <t xml:space="preserve">Medição da empreiteira de alvenaria · NF 79142</t>
  </si>
  <si>
    <t xml:space="preserve">Medição de instalações hidráulicas · NF 63339</t>
  </si>
  <si>
    <t xml:space="preserve">Medição de instalações elétricas · NF 1679</t>
  </si>
  <si>
    <t xml:space="preserve">Encargos e INSS do mês · NF 58701</t>
  </si>
  <si>
    <t xml:space="preserve">Medição da empreiteira de alvenaria · NF 2480</t>
  </si>
  <si>
    <t xml:space="preserve">Medição de instalações hidráulicas · NF 79942</t>
  </si>
  <si>
    <t xml:space="preserve">Medição de instalações elétricas · NF 3879</t>
  </si>
  <si>
    <t xml:space="preserve">Encargos e INSS do mês · NF 49527</t>
  </si>
  <si>
    <t xml:space="preserve">Medição acumulada de duas parcelas da empreiteira no mesmo mês.</t>
  </si>
  <si>
    <t xml:space="preserve">Medição da empreiteira de alvenaria · NF 15184</t>
  </si>
  <si>
    <t xml:space="preserve">Medição de instalações hidráulicas · NF 66340</t>
  </si>
  <si>
    <t xml:space="preserve">Medição de instalações elétricas · NF 59626</t>
  </si>
  <si>
    <t xml:space="preserve">Encargos e INSS do mês · NF 1297</t>
  </si>
  <si>
    <t xml:space="preserve">Medição da empreiteira de alvenaria · NF 43163</t>
  </si>
  <si>
    <t xml:space="preserve">Medição de instalações hidráulicas · NF 87890</t>
  </si>
  <si>
    <t xml:space="preserve">Medição de instalações elétricas · NF 54975</t>
  </si>
  <si>
    <t xml:space="preserve">Encargos e INSS do mês · NF 6263</t>
  </si>
  <si>
    <t xml:space="preserve">Cimento CP-II (180 sacos) cedido pela POTENGI</t>
  </si>
  <si>
    <t xml:space="preserve">Reajuste de contrato de mão de obra pelo INCC.</t>
  </si>
  <si>
    <t xml:space="preserve">Medição da empreiteira de alvenaria · NF 68543</t>
  </si>
  <si>
    <t xml:space="preserve">Medição de instalações hidráulicas · NF 95707</t>
  </si>
  <si>
    <t xml:space="preserve">Medição de instalações elétricas · NF 70071</t>
  </si>
  <si>
    <t xml:space="preserve">Encargos e INSS do mês · NF 89325</t>
  </si>
  <si>
    <t xml:space="preserve">Unid. 903 · troca de piso da sala (cliente H. Teixeira)</t>
  </si>
  <si>
    <t xml:space="preserve">Unid. 1003 · bancada da cozinha em quartzo (cliente I. Moura)</t>
  </si>
  <si>
    <t xml:space="preserve">Unid. 801 · planta com home office (cliente J. Viana)</t>
  </si>
  <si>
    <t xml:space="preserve">Unid. 203 · ponto extra de ar-condicionado (cliente K. Saraiva)</t>
  </si>
  <si>
    <t xml:space="preserve">Unid. 1002 · revestimento da varanda (cliente L. Fernandes)</t>
  </si>
  <si>
    <t xml:space="preserve">Unid. 1604 · fechamento da cozinha (cliente M. Albuquerque)</t>
  </si>
  <si>
    <t xml:space="preserve">Medição da empreiteira de alvenaria · NF 28115</t>
  </si>
  <si>
    <t xml:space="preserve">Medição de instalações hidráulicas · NF 56388</t>
  </si>
  <si>
    <t xml:space="preserve">Medição de instalações elétricas · NF 73315</t>
  </si>
  <si>
    <t xml:space="preserve">Encargos e INSS do mês · NF 12852</t>
  </si>
  <si>
    <t xml:space="preserve">Compra antecipada de material para travar preço com o fornecedor.</t>
  </si>
  <si>
    <t xml:space="preserve">Unid. 902 · box e metais de padrão superior (cliente N. Siqueira)</t>
  </si>
  <si>
    <t xml:space="preserve">Medição da empreiteira de alvenaria · NF 28154</t>
  </si>
  <si>
    <t xml:space="preserve">Medição de instalações hidráulicas · NF 92669</t>
  </si>
  <si>
    <t xml:space="preserve">Medição de instalações elétricas · NF 62208</t>
  </si>
  <si>
    <t xml:space="preserve">Encargos e INSS do mês · NF 54211</t>
  </si>
  <si>
    <t xml:space="preserve">Esquadrias de alumínio · sinal de fabricação</t>
  </si>
  <si>
    <t xml:space="preserve">Revestimento cerâmico interno</t>
  </si>
  <si>
    <t xml:space="preserve">Porcelanato das áreas comuns</t>
  </si>
  <si>
    <t xml:space="preserve">Louças e metais</t>
  </si>
  <si>
    <t xml:space="preserve">Tinta acrílica</t>
  </si>
  <si>
    <t xml:space="preserve">Material para impermeabilização</t>
  </si>
  <si>
    <t xml:space="preserve">Medição de reboco e gesso · NF 22067</t>
  </si>
  <si>
    <t xml:space="preserve">Medição de pintura · NF 29890</t>
  </si>
  <si>
    <t xml:space="preserve">Medição de revestimento · NF 20947</t>
  </si>
  <si>
    <t xml:space="preserve">Medição de instalações elétricas · NF 2533</t>
  </si>
  <si>
    <t xml:space="preserve">Encargos e INSS do mês · NF 60527</t>
  </si>
  <si>
    <t xml:space="preserve">Unid. 703 · iluminação embutida (cliente A. Cavalcanti)</t>
  </si>
  <si>
    <t xml:space="preserve">Medição de reboco e gesso · NF 25311</t>
  </si>
  <si>
    <t xml:space="preserve">Medição de pintura · NF 59344</t>
  </si>
  <si>
    <t xml:space="preserve">Medição de revestimento · NF 99650</t>
  </si>
  <si>
    <t xml:space="preserve">Medição de instalações elétricas · NF 10209</t>
  </si>
  <si>
    <t xml:space="preserve">Encargos e INSS do mês · NF 19922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</si>
</sst>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45901</v>
      </c>
    </row>
    <row r="28" customFormat="false" ht="15" hidden="false" customHeight="false" outlineLevel="0" collapsed="false">
      <c r="B28" s="0" t="s">
        <v>14</v>
      </c>
      <c r="J28" s="8" t="n">
        <v>24300000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0.0457</v>
      </c>
    </row>
    <row r="33" customFormat="false" ht="15" hidden="false" customHeight="false" outlineLevel="0" collapsed="false">
      <c r="B33" s="0" t="s">
        <v>18</v>
      </c>
      <c r="F33" s="9" t="n">
        <v>0.0441</v>
      </c>
    </row>
    <row r="35" customFormat="false" ht="15" hidden="false" customHeight="false" outlineLevel="0" collapsed="false">
      <c r="B35" s="0" t="s">
        <v>19</v>
      </c>
      <c r="F35" s="9" t="n">
        <v>0.4067</v>
      </c>
    </row>
    <row r="37" customFormat="false" ht="15" hidden="false" customHeight="false" outlineLevel="0" collapsed="false">
      <c r="B37" s="0" t="s">
        <v>20</v>
      </c>
      <c r="F37" s="9" t="n">
        <v>0.3827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9299610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267739.38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260215.18</v>
      </c>
    </row>
    <row r="55" customFormat="false" ht="15" hidden="false" customHeight="false" outlineLevel="0" collapsed="false">
      <c r="B55" s="0" t="s">
        <v>29</v>
      </c>
      <c r="F55" s="8" t="n">
        <v>9555378.41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9555378.41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78456.53</v>
      </c>
    </row>
    <row r="79" customFormat="false" ht="15" hidden="false" customHeight="false" outlineLevel="0" collapsed="false">
      <c r="G79" s="0" t="s">
        <v>38</v>
      </c>
      <c r="J79" s="14" t="n">
        <v>54548.48</v>
      </c>
    </row>
    <row r="80" customFormat="false" ht="15" hidden="false" customHeight="false" outlineLevel="0" collapsed="false">
      <c r="G80" s="0" t="s">
        <v>39</v>
      </c>
      <c r="J80" s="14" t="n">
        <v>46009.73</v>
      </c>
    </row>
    <row r="81" customFormat="false" ht="15" hidden="false" customHeight="false" outlineLevel="0" collapsed="false">
      <c r="G81" s="0" t="s">
        <v>40</v>
      </c>
      <c r="J81" s="14" t="n">
        <v>88724.64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267739.38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49</v>
      </c>
      <c r="E106" s="14" t="n">
        <v>42791.98</v>
      </c>
    </row>
    <row r="107" customFormat="false" ht="15" hidden="false" customHeight="false" outlineLevel="0" collapsed="false">
      <c r="B107" s="0" t="s">
        <v>50</v>
      </c>
      <c r="E107" s="14" t="n">
        <v>86528.8</v>
      </c>
    </row>
    <row r="108" customFormat="false" ht="15" hidden="false" customHeight="false" outlineLevel="0" collapsed="false">
      <c r="B108" s="0" t="s">
        <v>51</v>
      </c>
      <c r="E108" s="14" t="n">
        <v>74182.72</v>
      </c>
    </row>
    <row r="109" customFormat="false" ht="15" hidden="false" customHeight="false" outlineLevel="0" collapsed="false">
      <c r="B109" s="0" t="s">
        <v>52</v>
      </c>
      <c r="E109" s="14" t="n">
        <v>56711.68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260215.18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981341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24300000</v>
      </c>
      <c r="G137" s="15" t="s">
        <v>59</v>
      </c>
      <c r="J137" s="8" t="n">
        <v>1059230.21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77889.21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45901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0.0457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0.0441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0.4067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0.3827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9299610</v>
      </c>
      <c r="E145" s="18" t="n">
        <f aca="false">D145/$D$137</f>
        <v>0.3827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267739.38</v>
      </c>
      <c r="E149" s="18" t="n">
        <f aca="false">D149/$D$137</f>
        <v>0.0110180814814815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0.00488477366255144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260215.18</v>
      </c>
      <c r="E152" s="18" t="n">
        <f aca="false">D152/$D$137</f>
        <v>0.0107084436213992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9555378.41</v>
      </c>
      <c r="E153" s="18" t="n">
        <f aca="false">D153/$D$137</f>
        <v>0.393225448971193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-129544.209999999</v>
      </c>
      <c r="E155" s="19" t="n">
        <f aca="false">D155/D137</f>
        <v>-0.00533103744855963</v>
      </c>
    </row>
    <row r="156" customFormat="false" ht="15" hidden="false" customHeight="false" outlineLevel="0" collapsed="false">
      <c r="C156" s="0" t="s">
        <v>82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45931</v>
      </c>
    </row>
    <row r="28" customFormat="false" ht="15" hidden="false" customHeight="false" outlineLevel="0" collapsed="false">
      <c r="B28" s="0" t="s">
        <v>14</v>
      </c>
      <c r="J28" s="8" t="n">
        <v>24402060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0.0465</v>
      </c>
    </row>
    <row r="33" customFormat="false" ht="15" hidden="false" customHeight="false" outlineLevel="0" collapsed="false">
      <c r="B33" s="0" t="s">
        <v>18</v>
      </c>
      <c r="F33" s="9" t="n">
        <v>0.0452</v>
      </c>
    </row>
    <row r="35" customFormat="false" ht="15" hidden="false" customHeight="false" outlineLevel="0" collapsed="false">
      <c r="B35" s="0" t="s">
        <v>19</v>
      </c>
      <c r="F35" s="9" t="n">
        <v>0.4532</v>
      </c>
    </row>
    <row r="37" customFormat="false" ht="15" hidden="false" customHeight="false" outlineLevel="0" collapsed="false">
      <c r="B37" s="0" t="s">
        <v>20</v>
      </c>
      <c r="F37" s="9" t="n">
        <v>0.4279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10441641.474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206126.09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217286.99</v>
      </c>
    </row>
    <row r="55" customFormat="false" ht="15" hidden="false" customHeight="false" outlineLevel="0" collapsed="false">
      <c r="B55" s="0" t="s">
        <v>29</v>
      </c>
      <c r="F55" s="8" t="n">
        <v>10753417.94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10753417.94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52478.93</v>
      </c>
    </row>
    <row r="79" customFormat="false" ht="15" hidden="false" customHeight="false" outlineLevel="0" collapsed="false">
      <c r="G79" s="0" t="s">
        <v>38</v>
      </c>
      <c r="J79" s="14" t="n">
        <v>47027.86</v>
      </c>
    </row>
    <row r="80" customFormat="false" ht="15" hidden="false" customHeight="false" outlineLevel="0" collapsed="false">
      <c r="G80" s="0" t="s">
        <v>39</v>
      </c>
      <c r="J80" s="14" t="n">
        <v>53946.07</v>
      </c>
    </row>
    <row r="81" customFormat="false" ht="15" hidden="false" customHeight="false" outlineLevel="0" collapsed="false">
      <c r="G81" s="0" t="s">
        <v>40</v>
      </c>
      <c r="J81" s="14" t="n">
        <v>52673.23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206126.09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104</v>
      </c>
      <c r="E106" s="14" t="n">
        <v>67215.69</v>
      </c>
    </row>
    <row r="107" customFormat="false" ht="15" hidden="false" customHeight="false" outlineLevel="0" collapsed="false">
      <c r="B107" s="0" t="s">
        <v>105</v>
      </c>
      <c r="E107" s="14" t="n">
        <v>48002.61</v>
      </c>
    </row>
    <row r="108" customFormat="false" ht="15" hidden="false" customHeight="false" outlineLevel="0" collapsed="false">
      <c r="B108" s="0" t="s">
        <v>106</v>
      </c>
      <c r="E108" s="14" t="n">
        <v>34626.6</v>
      </c>
    </row>
    <row r="109" customFormat="false" ht="15" hidden="false" customHeight="false" outlineLevel="0" collapsed="false">
      <c r="B109" s="0" t="s">
        <v>107</v>
      </c>
      <c r="E109" s="14" t="n">
        <v>67442.09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217286.99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1089132.27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24402060</v>
      </c>
      <c r="G137" s="15" t="s">
        <v>59</v>
      </c>
      <c r="J137" s="8" t="n">
        <v>1198039.53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108907.26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45931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0.0465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0.0452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0.4532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0.4279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10441641.474</v>
      </c>
      <c r="E145" s="18" t="n">
        <f aca="false">D145/$D$137</f>
        <v>0.4279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206126.09</v>
      </c>
      <c r="E149" s="18" t="n">
        <f aca="false">D149/$D$137</f>
        <v>0.00844707741887365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0.00486434342018666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217286.99</v>
      </c>
      <c r="E152" s="18" t="n">
        <f aca="false">D152/$D$137</f>
        <v>0.00890445273882615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10753417.94</v>
      </c>
      <c r="E153" s="18" t="n">
        <f aca="false">D153/$D$137</f>
        <v>0.440676645332402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-204237.366</v>
      </c>
      <c r="E155" s="19" t="n">
        <f aca="false">D155/D137</f>
        <v>-0.00836967723216812</v>
      </c>
    </row>
    <row r="156" customFormat="false" ht="15" hidden="false" customHeight="false" outlineLevel="0" collapsed="false">
      <c r="C156" s="0" t="s">
        <v>82</v>
      </c>
      <c r="D156" s="10" t="n">
        <f aca="false">SET25!D155</f>
        <v>-129544.209999999</v>
      </c>
      <c r="E156" s="17" t="n">
        <f aca="false">SET25!E155</f>
        <v>-0.00533103744855963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45962</v>
      </c>
    </row>
    <row r="28" customFormat="false" ht="15" hidden="false" customHeight="false" outlineLevel="0" collapsed="false">
      <c r="B28" s="0" t="s">
        <v>14</v>
      </c>
      <c r="J28" s="8" t="n">
        <v>24504120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0.0468</v>
      </c>
    </row>
    <row r="33" customFormat="false" ht="15" hidden="false" customHeight="false" outlineLevel="0" collapsed="false">
      <c r="B33" s="0" t="s">
        <v>18</v>
      </c>
      <c r="F33" s="9" t="n">
        <v>0.0456</v>
      </c>
    </row>
    <row r="35" customFormat="false" ht="15" hidden="false" customHeight="false" outlineLevel="0" collapsed="false">
      <c r="B35" s="0" t="s">
        <v>19</v>
      </c>
      <c r="F35" s="9" t="n">
        <v>0.5</v>
      </c>
    </row>
    <row r="37" customFormat="false" ht="15" hidden="false" customHeight="false" outlineLevel="0" collapsed="false">
      <c r="B37" s="0" t="s">
        <v>20</v>
      </c>
      <c r="F37" s="9" t="n">
        <v>0.4735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11602700.82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258399.7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187392.94</v>
      </c>
    </row>
    <row r="55" customFormat="false" ht="15" hidden="false" customHeight="false" outlineLevel="0" collapsed="false">
      <c r="B55" s="0" t="s">
        <v>29</v>
      </c>
      <c r="F55" s="8" t="n">
        <v>12082084.21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12082084.21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63110.87</v>
      </c>
    </row>
    <row r="79" customFormat="false" ht="15" hidden="false" customHeight="false" outlineLevel="0" collapsed="false">
      <c r="G79" s="0" t="s">
        <v>38</v>
      </c>
      <c r="J79" s="14" t="n">
        <v>55242.75</v>
      </c>
    </row>
    <row r="80" customFormat="false" ht="15" hidden="false" customHeight="false" outlineLevel="0" collapsed="false">
      <c r="G80" s="0" t="s">
        <v>39</v>
      </c>
      <c r="J80" s="14" t="n">
        <v>76206.43</v>
      </c>
    </row>
    <row r="81" customFormat="false" ht="15" hidden="false" customHeight="false" outlineLevel="0" collapsed="false">
      <c r="G81" s="0" t="s">
        <v>40</v>
      </c>
      <c r="J81" s="14" t="n">
        <v>63839.65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258399.7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108</v>
      </c>
      <c r="E106" s="14" t="n">
        <v>55385.95</v>
      </c>
    </row>
    <row r="107" customFormat="false" ht="15" hidden="false" customHeight="false" outlineLevel="0" collapsed="false">
      <c r="B107" s="0" t="s">
        <v>109</v>
      </c>
      <c r="E107" s="14" t="n">
        <v>29122.2</v>
      </c>
    </row>
    <row r="108" customFormat="false" ht="15" hidden="false" customHeight="false" outlineLevel="0" collapsed="false">
      <c r="B108" s="0" t="s">
        <v>110</v>
      </c>
      <c r="E108" s="14" t="n">
        <v>60413.53</v>
      </c>
    </row>
    <row r="109" customFormat="false" ht="15" hidden="false" customHeight="false" outlineLevel="0" collapsed="false">
      <c r="B109" s="0" t="s">
        <v>111</v>
      </c>
      <c r="E109" s="14" t="n">
        <v>42471.26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187392.94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1204542.39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24504120</v>
      </c>
      <c r="G137" s="15" t="s">
        <v>59</v>
      </c>
      <c r="J137" s="8" t="n">
        <v>1328666.27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124123.88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45962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0.0468</v>
      </c>
      <c r="G140" s="20" t="s">
        <v>112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0.0456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0.5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0.4735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11602700.82</v>
      </c>
      <c r="E145" s="18" t="n">
        <f aca="false">D145/$D$137</f>
        <v>0.4735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258399.7</v>
      </c>
      <c r="E149" s="18" t="n">
        <f aca="false">D149/$D$137</f>
        <v>0.0105451532232131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0.00484408336230805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187392.94</v>
      </c>
      <c r="E152" s="18" t="n">
        <f aca="false">D152/$D$137</f>
        <v>0.00764740541590557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12082084.21</v>
      </c>
      <c r="E153" s="18" t="n">
        <f aca="false">D153/$D$137</f>
        <v>0.493063379137876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-289676.630000001</v>
      </c>
      <c r="E155" s="19" t="n">
        <f aca="false">D155/D137</f>
        <v>-0.0118215479682601</v>
      </c>
    </row>
    <row r="156" customFormat="false" ht="15" hidden="false" customHeight="false" outlineLevel="0" collapsed="false">
      <c r="C156" s="0" t="s">
        <v>82</v>
      </c>
      <c r="D156" s="10" t="n">
        <f aca="false">OUT25!D155</f>
        <v>-204237.366</v>
      </c>
      <c r="E156" s="17" t="n">
        <f aca="false">OUT25!E155</f>
        <v>-0.00836967723216812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45992</v>
      </c>
    </row>
    <row r="28" customFormat="false" ht="15" hidden="false" customHeight="false" outlineLevel="0" collapsed="false">
      <c r="B28" s="0" t="s">
        <v>14</v>
      </c>
      <c r="J28" s="8" t="n">
        <v>24606180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0.0468</v>
      </c>
    </row>
    <row r="33" customFormat="false" ht="15" hidden="false" customHeight="false" outlineLevel="0" collapsed="false">
      <c r="B33" s="0" t="s">
        <v>18</v>
      </c>
      <c r="F33" s="9" t="n">
        <v>0.0448</v>
      </c>
    </row>
    <row r="35" customFormat="false" ht="15" hidden="false" customHeight="false" outlineLevel="0" collapsed="false">
      <c r="B35" s="0" t="s">
        <v>19</v>
      </c>
      <c r="F35" s="9" t="n">
        <v>0.5468</v>
      </c>
    </row>
    <row r="37" customFormat="false" ht="15" hidden="false" customHeight="false" outlineLevel="0" collapsed="false">
      <c r="B37" s="0" t="s">
        <v>20</v>
      </c>
      <c r="F37" s="9" t="n">
        <v>0.5183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12753383.094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350193.84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259164.82</v>
      </c>
    </row>
    <row r="55" customFormat="false" ht="15" hidden="false" customHeight="false" outlineLevel="0" collapsed="false">
      <c r="B55" s="0" t="s">
        <v>29</v>
      </c>
      <c r="F55" s="8" t="n">
        <v>13348184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13348184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61350.93</v>
      </c>
    </row>
    <row r="79" customFormat="false" ht="15" hidden="false" customHeight="false" outlineLevel="0" collapsed="false">
      <c r="G79" s="0" t="s">
        <v>113</v>
      </c>
      <c r="J79" s="14" t="n">
        <v>80999.73</v>
      </c>
    </row>
    <row r="80" customFormat="false" ht="15" hidden="false" customHeight="false" outlineLevel="0" collapsed="false">
      <c r="G80" s="0" t="s">
        <v>40</v>
      </c>
      <c r="J80" s="14" t="n">
        <v>85252.61</v>
      </c>
    </row>
    <row r="81" customFormat="false" ht="15" hidden="false" customHeight="false" outlineLevel="0" collapsed="false">
      <c r="G81" s="0" t="s">
        <v>114</v>
      </c>
      <c r="J81" s="14" t="n">
        <v>63128.27</v>
      </c>
    </row>
    <row r="82" customFormat="false" ht="15" hidden="false" customHeight="false" outlineLevel="0" collapsed="false">
      <c r="G82" s="0" t="s">
        <v>115</v>
      </c>
      <c r="J82" s="14" t="n">
        <v>59462.3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350193.84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116</v>
      </c>
      <c r="E106" s="14" t="n">
        <v>69142.93</v>
      </c>
    </row>
    <row r="107" customFormat="false" ht="15" hidden="false" customHeight="false" outlineLevel="0" collapsed="false">
      <c r="B107" s="0" t="s">
        <v>117</v>
      </c>
      <c r="E107" s="14" t="n">
        <v>76246.73</v>
      </c>
    </row>
    <row r="108" customFormat="false" ht="15" hidden="false" customHeight="false" outlineLevel="0" collapsed="false">
      <c r="B108" s="0" t="s">
        <v>118</v>
      </c>
      <c r="E108" s="14" t="n">
        <v>50975.65</v>
      </c>
    </row>
    <row r="109" customFormat="false" ht="15" hidden="false" customHeight="false" outlineLevel="0" collapsed="false">
      <c r="B109" s="0" t="s">
        <v>119</v>
      </c>
      <c r="E109" s="14" t="n">
        <v>62799.51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259164.82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1135818.68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24606180</v>
      </c>
      <c r="G137" s="15" t="s">
        <v>59</v>
      </c>
      <c r="J137" s="8" t="n">
        <v>1266099.79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130281.11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45992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0.0468</v>
      </c>
      <c r="G140" s="20" t="s">
        <v>112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0.0448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0.5468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0.5183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12753383.094</v>
      </c>
      <c r="E145" s="18" t="n">
        <f aca="false">D145/$D$137</f>
        <v>0.5183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350193.84</v>
      </c>
      <c r="E149" s="18" t="n">
        <f aca="false">D149/$D$137</f>
        <v>0.0142319466085349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0.0048239913712734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259164.82</v>
      </c>
      <c r="E152" s="18" t="n">
        <f aca="false">D152/$D$137</f>
        <v>0.0105325093127011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13348184</v>
      </c>
      <c r="E153" s="18" t="n">
        <f aca="false">D153/$D$137</f>
        <v>0.542472825932347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-385071.886</v>
      </c>
      <c r="E155" s="19" t="n">
        <f aca="false">D155/D137</f>
        <v>-0.0156493972652399</v>
      </c>
    </row>
    <row r="156" customFormat="false" ht="15" hidden="false" customHeight="false" outlineLevel="0" collapsed="false">
      <c r="C156" s="0" t="s">
        <v>82</v>
      </c>
      <c r="D156" s="10" t="n">
        <f aca="false">NOV25!D155</f>
        <v>-289676.630000001</v>
      </c>
      <c r="E156" s="17" t="n">
        <f aca="false">NOV25!E155</f>
        <v>-0.0118215479682601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46023</v>
      </c>
    </row>
    <row r="28" customFormat="false" ht="15" hidden="false" customHeight="false" outlineLevel="0" collapsed="false">
      <c r="B28" s="0" t="s">
        <v>14</v>
      </c>
      <c r="J28" s="8" t="n">
        <v>24708240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0.0465</v>
      </c>
    </row>
    <row r="33" customFormat="false" ht="15" hidden="false" customHeight="false" outlineLevel="0" collapsed="false">
      <c r="B33" s="0" t="s">
        <v>18</v>
      </c>
      <c r="F33" s="9" t="n">
        <v>0.0453</v>
      </c>
    </row>
    <row r="35" customFormat="false" ht="15" hidden="false" customHeight="false" outlineLevel="0" collapsed="false">
      <c r="B35" s="0" t="s">
        <v>19</v>
      </c>
      <c r="F35" s="9" t="n">
        <v>0.5933</v>
      </c>
    </row>
    <row r="37" customFormat="false" ht="15" hidden="false" customHeight="false" outlineLevel="0" collapsed="false">
      <c r="B37" s="0" t="s">
        <v>20</v>
      </c>
      <c r="F37" s="9" t="n">
        <v>0.5636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13925564.064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272718.02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216712.66</v>
      </c>
    </row>
    <row r="55" customFormat="false" ht="15" hidden="false" customHeight="false" outlineLevel="0" collapsed="false">
      <c r="B55" s="0" t="s">
        <v>29</v>
      </c>
      <c r="F55" s="8" t="n">
        <v>14617417.76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14617417.76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53224.51</v>
      </c>
    </row>
    <row r="79" customFormat="false" ht="15" hidden="false" customHeight="false" outlineLevel="0" collapsed="false">
      <c r="G79" s="0" t="s">
        <v>113</v>
      </c>
      <c r="J79" s="14" t="n">
        <v>81543.44</v>
      </c>
    </row>
    <row r="80" customFormat="false" ht="15" hidden="false" customHeight="false" outlineLevel="0" collapsed="false">
      <c r="G80" s="0" t="s">
        <v>40</v>
      </c>
      <c r="J80" s="14" t="n">
        <v>43096.98</v>
      </c>
    </row>
    <row r="81" customFormat="false" ht="15" hidden="false" customHeight="false" outlineLevel="0" collapsed="false">
      <c r="G81" s="0" t="s">
        <v>114</v>
      </c>
      <c r="J81" s="14" t="n">
        <v>52886.16</v>
      </c>
    </row>
    <row r="82" customFormat="false" ht="15" hidden="false" customHeight="false" outlineLevel="0" collapsed="false">
      <c r="G82" s="0" t="s">
        <v>115</v>
      </c>
      <c r="J82" s="14" t="n">
        <v>41966.93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272718.02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120</v>
      </c>
      <c r="E106" s="14" t="n">
        <v>55435.25</v>
      </c>
    </row>
    <row r="107" customFormat="false" ht="15" hidden="false" customHeight="false" outlineLevel="0" collapsed="false">
      <c r="B107" s="0" t="s">
        <v>121</v>
      </c>
      <c r="E107" s="14" t="n">
        <v>53499.29</v>
      </c>
    </row>
    <row r="108" customFormat="false" ht="15" hidden="false" customHeight="false" outlineLevel="0" collapsed="false">
      <c r="B108" s="0" t="s">
        <v>122</v>
      </c>
      <c r="E108" s="14" t="n">
        <v>67070.82</v>
      </c>
    </row>
    <row r="109" customFormat="false" ht="15" hidden="false" customHeight="false" outlineLevel="0" collapsed="false">
      <c r="B109" s="0" t="s">
        <v>123</v>
      </c>
      <c r="E109" s="14" t="n">
        <v>40707.3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216712.66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1115367.08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24708240</v>
      </c>
      <c r="G137" s="15" t="s">
        <v>59</v>
      </c>
      <c r="J137" s="8" t="n">
        <v>1269233.76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153866.68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46023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0.0465</v>
      </c>
      <c r="G140" s="20" t="s">
        <v>112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0.0453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0.5933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0.5636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13925564.064</v>
      </c>
      <c r="E145" s="18" t="n">
        <f aca="false">D145/$D$137</f>
        <v>0.5636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272718.02</v>
      </c>
      <c r="E149" s="18" t="n">
        <f aca="false">D149/$D$137</f>
        <v>0.0110375332277815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0.00480406536442903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216712.66</v>
      </c>
      <c r="E152" s="18" t="n">
        <f aca="false">D152/$D$137</f>
        <v>0.00877086591355758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14617417.76</v>
      </c>
      <c r="E153" s="18" t="n">
        <f aca="false">D153/$D$137</f>
        <v>0.591600929892214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-517148.336000001</v>
      </c>
      <c r="E155" s="19" t="n">
        <f aca="false">D155/D137</f>
        <v>-0.0209301972135612</v>
      </c>
    </row>
    <row r="156" customFormat="false" ht="15" hidden="false" customHeight="false" outlineLevel="0" collapsed="false">
      <c r="C156" s="0" t="s">
        <v>82</v>
      </c>
      <c r="D156" s="10" t="n">
        <f aca="false">DEZ25!D155</f>
        <v>-385071.886</v>
      </c>
      <c r="E156" s="17" t="n">
        <f aca="false">DEZ25!E155</f>
        <v>-0.0156493972652399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24810300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0.0457</v>
      </c>
    </row>
    <row r="33" customFormat="false" ht="15" hidden="false" customHeight="false" outlineLevel="0" collapsed="false">
      <c r="B33" s="0" t="s">
        <v>18</v>
      </c>
      <c r="F33" s="9" t="n">
        <v>0.0442</v>
      </c>
    </row>
    <row r="35" customFormat="false" ht="15" hidden="false" customHeight="false" outlineLevel="0" collapsed="false">
      <c r="B35" s="0" t="s">
        <v>19</v>
      </c>
      <c r="F35" s="9" t="n">
        <v>0.639</v>
      </c>
    </row>
    <row r="37" customFormat="false" ht="15" hidden="false" customHeight="false" outlineLevel="0" collapsed="false">
      <c r="B37" s="0" t="s">
        <v>20</v>
      </c>
      <c r="F37" s="9" t="n">
        <v>0.6078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15079700.34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285544.03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179013.71</v>
      </c>
    </row>
    <row r="55" customFormat="false" ht="15" hidden="false" customHeight="false" outlineLevel="0" collapsed="false">
      <c r="B55" s="0" t="s">
        <v>29</v>
      </c>
      <c r="F55" s="8" t="n">
        <v>15968767.7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15968767.7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57503.54</v>
      </c>
    </row>
    <row r="79" customFormat="false" ht="15" hidden="false" customHeight="false" outlineLevel="0" collapsed="false">
      <c r="G79" s="0" t="s">
        <v>113</v>
      </c>
      <c r="J79" s="14" t="n">
        <v>49627.04</v>
      </c>
    </row>
    <row r="80" customFormat="false" ht="15" hidden="false" customHeight="false" outlineLevel="0" collapsed="false">
      <c r="G80" s="0" t="s">
        <v>40</v>
      </c>
      <c r="J80" s="14" t="n">
        <v>59020.93</v>
      </c>
    </row>
    <row r="81" customFormat="false" ht="15" hidden="false" customHeight="false" outlineLevel="0" collapsed="false">
      <c r="G81" s="0" t="s">
        <v>114</v>
      </c>
      <c r="J81" s="14" t="n">
        <v>41845.82</v>
      </c>
    </row>
    <row r="82" customFormat="false" ht="15" hidden="false" customHeight="false" outlineLevel="0" collapsed="false">
      <c r="G82" s="0" t="s">
        <v>115</v>
      </c>
      <c r="J82" s="14" t="n">
        <v>77546.7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285544.03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124</v>
      </c>
      <c r="E106" s="14" t="n">
        <v>40421.64</v>
      </c>
    </row>
    <row r="107" customFormat="false" ht="15" hidden="false" customHeight="false" outlineLevel="0" collapsed="false">
      <c r="B107" s="0" t="s">
        <v>125</v>
      </c>
      <c r="E107" s="14" t="n">
        <v>34199.55</v>
      </c>
    </row>
    <row r="108" customFormat="false" ht="15" hidden="false" customHeight="false" outlineLevel="0" collapsed="false">
      <c r="B108" s="0" t="s">
        <v>126</v>
      </c>
      <c r="E108" s="14" t="n">
        <v>56647.79</v>
      </c>
    </row>
    <row r="109" customFormat="false" ht="15" hidden="false" customHeight="false" outlineLevel="0" collapsed="false">
      <c r="B109" s="0" t="s">
        <v>127</v>
      </c>
      <c r="E109" s="14" t="n">
        <v>47744.73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179013.71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1207909.3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24810300</v>
      </c>
      <c r="G137" s="15" t="s">
        <v>59</v>
      </c>
      <c r="J137" s="8" t="n">
        <v>1351349.94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143440.64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46054</v>
      </c>
      <c r="G139" s="15" t="s">
        <v>62</v>
      </c>
    </row>
    <row r="140" customFormat="false" ht="28.35" hidden="false" customHeight="false" outlineLevel="0" collapsed="false">
      <c r="C140" s="0" t="s">
        <v>63</v>
      </c>
      <c r="D140" s="17" t="n">
        <f aca="false">F31</f>
        <v>0.0457</v>
      </c>
      <c r="G140" s="20" t="s">
        <v>128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0.0442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0.639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0.6078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15079700.34</v>
      </c>
      <c r="E145" s="18" t="n">
        <f aca="false">D145/$D$137</f>
        <v>0.6078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285544.03</v>
      </c>
      <c r="E149" s="18" t="n">
        <f aca="false">D149/$D$137</f>
        <v>0.0115090921915495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0.00478430329339025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179013.71</v>
      </c>
      <c r="E152" s="18" t="n">
        <f aca="false">D152/$D$137</f>
        <v>0.00721529808184504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15968767.7</v>
      </c>
      <c r="E153" s="18" t="n">
        <f aca="false">D153/$D$137</f>
        <v>0.643634607400959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-663837.040000001</v>
      </c>
      <c r="E155" s="19" t="n">
        <f aca="false">D155/D137</f>
        <v>-0.0267565099978638</v>
      </c>
    </row>
    <row r="156" customFormat="false" ht="15" hidden="false" customHeight="false" outlineLevel="0" collapsed="false">
      <c r="C156" s="0" t="s">
        <v>82</v>
      </c>
      <c r="D156" s="10" t="n">
        <f aca="false">JAN26!D155</f>
        <v>-517148.336000001</v>
      </c>
      <c r="E156" s="17" t="n">
        <f aca="false">JAN26!E155</f>
        <v>-0.0209301972135612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24912360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0.0446</v>
      </c>
    </row>
    <row r="33" customFormat="false" ht="15" hidden="false" customHeight="false" outlineLevel="0" collapsed="false">
      <c r="B33" s="0" t="s">
        <v>18</v>
      </c>
      <c r="F33" s="9" t="n">
        <v>0.0398</v>
      </c>
    </row>
    <row r="35" customFormat="false" ht="15" hidden="false" customHeight="false" outlineLevel="0" collapsed="false">
      <c r="B35" s="0" t="s">
        <v>19</v>
      </c>
      <c r="F35" s="9" t="n">
        <v>0.6836</v>
      </c>
    </row>
    <row r="37" customFormat="false" ht="15" hidden="false" customHeight="false" outlineLevel="0" collapsed="false">
      <c r="B37" s="0" t="s">
        <v>20</v>
      </c>
      <c r="F37" s="9" t="n">
        <v>0.6476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16133244.336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262394.86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239199.41</v>
      </c>
    </row>
    <row r="55" customFormat="false" ht="15" hidden="false" customHeight="false" outlineLevel="0" collapsed="false">
      <c r="B55" s="0" t="s">
        <v>29</v>
      </c>
      <c r="F55" s="8" t="n">
        <v>17095411.68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17095411.68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39359.84</v>
      </c>
    </row>
    <row r="79" customFormat="false" ht="15" hidden="false" customHeight="false" outlineLevel="0" collapsed="false">
      <c r="G79" s="0" t="s">
        <v>113</v>
      </c>
      <c r="J79" s="14" t="n">
        <v>54636.07</v>
      </c>
    </row>
    <row r="80" customFormat="false" ht="15" hidden="false" customHeight="false" outlineLevel="0" collapsed="false">
      <c r="G80" s="0" t="s">
        <v>40</v>
      </c>
      <c r="J80" s="14" t="n">
        <v>70762.19</v>
      </c>
    </row>
    <row r="81" customFormat="false" ht="15" hidden="false" customHeight="false" outlineLevel="0" collapsed="false">
      <c r="G81" s="0" t="s">
        <v>114</v>
      </c>
      <c r="J81" s="14" t="n">
        <v>58947.89</v>
      </c>
    </row>
    <row r="82" customFormat="false" ht="15" hidden="false" customHeight="false" outlineLevel="0" collapsed="false">
      <c r="G82" s="0" t="s">
        <v>115</v>
      </c>
      <c r="J82" s="14" t="n">
        <v>38688.87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262394.86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129</v>
      </c>
      <c r="E106" s="14" t="n">
        <v>62955.29</v>
      </c>
    </row>
    <row r="107" customFormat="false" ht="15" hidden="false" customHeight="false" outlineLevel="0" collapsed="false">
      <c r="B107" s="0" t="s">
        <v>130</v>
      </c>
      <c r="E107" s="14" t="n">
        <v>70848.55</v>
      </c>
    </row>
    <row r="108" customFormat="false" ht="15" hidden="false" customHeight="false" outlineLevel="0" collapsed="false">
      <c r="B108" s="0" t="s">
        <v>131</v>
      </c>
      <c r="E108" s="14" t="n">
        <v>51009.15</v>
      </c>
    </row>
    <row r="109" customFormat="false" ht="15" hidden="false" customHeight="false" outlineLevel="0" collapsed="false">
      <c r="B109" s="0" t="s">
        <v>132</v>
      </c>
      <c r="E109" s="14" t="n">
        <v>54386.42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239199.41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979502.35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24912360</v>
      </c>
      <c r="G137" s="15" t="s">
        <v>59</v>
      </c>
      <c r="J137" s="8" t="n">
        <v>1126643.98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147141.63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46082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0.0446</v>
      </c>
      <c r="G140" s="20" t="s">
        <v>112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0.0398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0.6836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0.6476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16133244.336</v>
      </c>
      <c r="E145" s="18" t="n">
        <f aca="false">D145/$D$137</f>
        <v>0.6476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262394.86</v>
      </c>
      <c r="E149" s="18" t="n">
        <f aca="false">D149/$D$137</f>
        <v>0.0105327178958557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0.00476470314333929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239199.41</v>
      </c>
      <c r="E152" s="18" t="n">
        <f aca="false">D152/$D$137</f>
        <v>0.00960163589479279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17095411.68</v>
      </c>
      <c r="E153" s="18" t="n">
        <f aca="false">D153/$D$137</f>
        <v>0.686222087349412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-820271.894000001</v>
      </c>
      <c r="E155" s="19" t="n">
        <f aca="false">D155/D137</f>
        <v>-0.0329263022050099</v>
      </c>
    </row>
    <row r="156" customFormat="false" ht="15" hidden="false" customHeight="false" outlineLevel="0" collapsed="false">
      <c r="C156" s="0" t="s">
        <v>82</v>
      </c>
      <c r="D156" s="10" t="n">
        <f aca="false">FEV26!D155</f>
        <v>-663837.040000001</v>
      </c>
      <c r="E156" s="17" t="n">
        <f aca="false">FEV26!E155</f>
        <v>-0.0267565099978638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46113</v>
      </c>
    </row>
    <row r="28" customFormat="false" ht="15" hidden="false" customHeight="false" outlineLevel="0" collapsed="false">
      <c r="B28" s="0" t="s">
        <v>14</v>
      </c>
      <c r="J28" s="8" t="n">
        <v>25014420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0.0431</v>
      </c>
    </row>
    <row r="33" customFormat="false" ht="15" hidden="false" customHeight="false" outlineLevel="0" collapsed="false">
      <c r="B33" s="0" t="s">
        <v>18</v>
      </c>
      <c r="F33" s="9" t="n">
        <v>0.0352</v>
      </c>
    </row>
    <row r="35" customFormat="false" ht="15" hidden="false" customHeight="false" outlineLevel="0" collapsed="false">
      <c r="B35" s="0" t="s">
        <v>19</v>
      </c>
      <c r="F35" s="9" t="n">
        <v>0.7267</v>
      </c>
    </row>
    <row r="37" customFormat="false" ht="15" hidden="false" customHeight="false" outlineLevel="0" collapsed="false">
      <c r="B37" s="0" t="s">
        <v>20</v>
      </c>
      <c r="F37" s="9" t="n">
        <v>0.6828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17079845.976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249956.89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209671.61</v>
      </c>
    </row>
    <row r="55" customFormat="false" ht="15" hidden="false" customHeight="false" outlineLevel="0" collapsed="false">
      <c r="B55" s="0" t="s">
        <v>29</v>
      </c>
      <c r="F55" s="8" t="n">
        <v>18276084.76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18276084.76</v>
      </c>
    </row>
    <row r="58" customFormat="false" ht="15" hidden="false" customHeight="false" outlineLevel="0" collapsed="false">
      <c r="B58" s="0" t="s">
        <v>31</v>
      </c>
      <c r="F58" s="10" t="n">
        <f aca="false">E129</f>
        <v>18400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38765.02</v>
      </c>
    </row>
    <row r="79" customFormat="false" ht="15" hidden="false" customHeight="false" outlineLevel="0" collapsed="false">
      <c r="G79" s="0" t="s">
        <v>113</v>
      </c>
      <c r="J79" s="14" t="n">
        <v>51444.33</v>
      </c>
    </row>
    <row r="80" customFormat="false" ht="15" hidden="false" customHeight="false" outlineLevel="0" collapsed="false">
      <c r="G80" s="0" t="s">
        <v>40</v>
      </c>
      <c r="J80" s="14" t="n">
        <v>46146.57</v>
      </c>
    </row>
    <row r="81" customFormat="false" ht="15" hidden="false" customHeight="false" outlineLevel="0" collapsed="false">
      <c r="G81" s="0" t="s">
        <v>114</v>
      </c>
      <c r="J81" s="14" t="n">
        <v>54145.82</v>
      </c>
    </row>
    <row r="82" customFormat="false" ht="15" hidden="false" customHeight="false" outlineLevel="0" collapsed="false">
      <c r="G82" s="0" t="s">
        <v>115</v>
      </c>
      <c r="J82" s="14" t="n">
        <v>59455.15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249956.89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133</v>
      </c>
      <c r="E106" s="14" t="n">
        <v>66068.15</v>
      </c>
    </row>
    <row r="107" customFormat="false" ht="15" hidden="false" customHeight="false" outlineLevel="0" collapsed="false">
      <c r="B107" s="0" t="s">
        <v>134</v>
      </c>
      <c r="E107" s="14" t="n">
        <v>49629.77</v>
      </c>
    </row>
    <row r="108" customFormat="false" ht="15" hidden="false" customHeight="false" outlineLevel="0" collapsed="false">
      <c r="B108" s="0" t="s">
        <v>135</v>
      </c>
      <c r="E108" s="14" t="n">
        <v>55004.79</v>
      </c>
    </row>
    <row r="109" customFormat="false" ht="15" hidden="false" customHeight="false" outlineLevel="0" collapsed="false">
      <c r="B109" s="0" t="s">
        <v>136</v>
      </c>
      <c r="E109" s="14" t="n">
        <v>38968.9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209671.61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19" customFormat="false" ht="15" hidden="false" customHeight="false" outlineLevel="0" collapsed="false">
      <c r="B119" s="0" t="s">
        <v>137</v>
      </c>
      <c r="E119" s="14" t="n">
        <v>18400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18400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1008935.23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25014420</v>
      </c>
      <c r="G137" s="15" t="s">
        <v>59</v>
      </c>
      <c r="J137" s="8" t="n">
        <v>1180673.08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171737.85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46113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0.0431</v>
      </c>
      <c r="G140" s="20" t="s">
        <v>138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0.0352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0.7267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0.6828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17079845.976</v>
      </c>
      <c r="E145" s="18" t="n">
        <f aca="false">D145/$D$137</f>
        <v>0.6828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249956.89</v>
      </c>
      <c r="E149" s="18" t="n">
        <f aca="false">D149/$D$137</f>
        <v>0.00999251191912505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0.00474526293234063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209671.61</v>
      </c>
      <c r="E152" s="18" t="n">
        <f aca="false">D152/$D$137</f>
        <v>0.00838202964530059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18276084.76</v>
      </c>
      <c r="E153" s="18" t="n">
        <f aca="false">D153/$D$137</f>
        <v>0.73062196764906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18400</v>
      </c>
      <c r="E154" s="18" t="n">
        <f aca="false">D154/$D$137</f>
        <v>0.000735575719924748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-1055653.504</v>
      </c>
      <c r="E155" s="19" t="n">
        <f aca="false">D155/D137</f>
        <v>-0.0422017981628197</v>
      </c>
    </row>
    <row r="156" customFormat="false" ht="15" hidden="false" customHeight="false" outlineLevel="0" collapsed="false">
      <c r="C156" s="0" t="s">
        <v>82</v>
      </c>
      <c r="D156" s="10" t="n">
        <f aca="false">MAR26!D155</f>
        <v>-820271.894000001</v>
      </c>
      <c r="E156" s="17" t="n">
        <f aca="false">MAR26!E155</f>
        <v>-0.0329263022050099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25116480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0.0414</v>
      </c>
    </row>
    <row r="33" customFormat="false" ht="15" hidden="false" customHeight="false" outlineLevel="0" collapsed="false">
      <c r="B33" s="0" t="s">
        <v>18</v>
      </c>
      <c r="F33" s="9" t="n">
        <v>0.0365</v>
      </c>
    </row>
    <row r="35" customFormat="false" ht="15" hidden="false" customHeight="false" outlineLevel="0" collapsed="false">
      <c r="B35" s="0" t="s">
        <v>19</v>
      </c>
      <c r="F35" s="9" t="n">
        <v>0.7681</v>
      </c>
    </row>
    <row r="37" customFormat="false" ht="15" hidden="false" customHeight="false" outlineLevel="0" collapsed="false">
      <c r="B37" s="0" t="s">
        <v>20</v>
      </c>
      <c r="F37" s="9" t="n">
        <v>0.7193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18066284.064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308868.09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213724.23</v>
      </c>
    </row>
    <row r="55" customFormat="false" ht="15" hidden="false" customHeight="false" outlineLevel="0" collapsed="false">
      <c r="B55" s="0" t="s">
        <v>29</v>
      </c>
      <c r="F55" s="8" t="n">
        <v>19579749.32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19579749.32</v>
      </c>
    </row>
    <row r="58" customFormat="false" ht="15" hidden="false" customHeight="false" outlineLevel="0" collapsed="false">
      <c r="B58" s="0" t="s">
        <v>31</v>
      </c>
      <c r="F58" s="10" t="n">
        <f aca="false">E129</f>
        <v>18400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47774.49</v>
      </c>
    </row>
    <row r="79" customFormat="false" ht="15" hidden="false" customHeight="false" outlineLevel="0" collapsed="false">
      <c r="G79" s="0" t="s">
        <v>113</v>
      </c>
      <c r="J79" s="14" t="n">
        <v>51747.52</v>
      </c>
    </row>
    <row r="80" customFormat="false" ht="15" hidden="false" customHeight="false" outlineLevel="0" collapsed="false">
      <c r="G80" s="0" t="s">
        <v>40</v>
      </c>
      <c r="J80" s="14" t="n">
        <v>56851.43</v>
      </c>
    </row>
    <row r="81" customFormat="false" ht="15" hidden="false" customHeight="false" outlineLevel="0" collapsed="false">
      <c r="G81" s="0" t="s">
        <v>114</v>
      </c>
      <c r="J81" s="14" t="n">
        <v>81620.58</v>
      </c>
    </row>
    <row r="82" customFormat="false" ht="15" hidden="false" customHeight="false" outlineLevel="0" collapsed="false">
      <c r="G82" s="0" t="s">
        <v>115</v>
      </c>
      <c r="J82" s="14" t="n">
        <v>70874.07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308868.09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139</v>
      </c>
      <c r="E106" s="14" t="n">
        <v>66854.59</v>
      </c>
    </row>
    <row r="107" customFormat="false" ht="15" hidden="false" customHeight="false" outlineLevel="0" collapsed="false">
      <c r="B107" s="0" t="s">
        <v>140</v>
      </c>
      <c r="E107" s="14" t="n">
        <v>44490.64</v>
      </c>
    </row>
    <row r="108" customFormat="false" ht="15" hidden="false" customHeight="false" outlineLevel="0" collapsed="false">
      <c r="B108" s="0" t="s">
        <v>141</v>
      </c>
      <c r="E108" s="14" t="n">
        <v>57021.54</v>
      </c>
    </row>
    <row r="109" customFormat="false" ht="15" hidden="false" customHeight="false" outlineLevel="0" collapsed="false">
      <c r="B109" s="0" t="s">
        <v>142</v>
      </c>
      <c r="E109" s="14" t="n">
        <v>45357.46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213724.23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19" customFormat="false" ht="15" hidden="false" customHeight="false" outlineLevel="0" collapsed="false">
      <c r="B119" s="0" t="s">
        <v>137</v>
      </c>
      <c r="E119" s="14" t="n">
        <v>18400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18400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1068426.9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25116480</v>
      </c>
      <c r="G137" s="15" t="s">
        <v>59</v>
      </c>
      <c r="J137" s="8" t="n">
        <v>1303664.56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235237.66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46143</v>
      </c>
      <c r="G139" s="15" t="s">
        <v>62</v>
      </c>
    </row>
    <row r="140" customFormat="false" ht="28.35" hidden="false" customHeight="false" outlineLevel="0" collapsed="false">
      <c r="C140" s="0" t="s">
        <v>63</v>
      </c>
      <c r="D140" s="17" t="n">
        <f aca="false">F31</f>
        <v>0.0414</v>
      </c>
      <c r="G140" s="20" t="s">
        <v>128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0.0365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0.7681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0.7193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18066284.064</v>
      </c>
      <c r="E145" s="18" t="n">
        <f aca="false">D145/$D$137</f>
        <v>0.7193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308868.09</v>
      </c>
      <c r="E149" s="18" t="n">
        <f aca="false">D149/$D$137</f>
        <v>0.0122974274261361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0.00472598071067283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213724.23</v>
      </c>
      <c r="E152" s="18" t="n">
        <f aca="false">D152/$D$137</f>
        <v>0.00850932256430837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19579749.32</v>
      </c>
      <c r="E153" s="18" t="n">
        <f aca="false">D153/$D$137</f>
        <v>0.779557856833442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18400</v>
      </c>
      <c r="E154" s="18" t="n">
        <f aca="false">D154/$D$137</f>
        <v>0.000732586731898737</v>
      </c>
    </row>
    <row r="155" customFormat="false" ht="15" hidden="false" customHeight="false" outlineLevel="0" collapsed="false">
      <c r="C155" s="12" t="s">
        <v>81</v>
      </c>
      <c r="D155" s="13" t="n">
        <v>-1233021.4</v>
      </c>
      <c r="E155" s="19" t="n">
        <f aca="false">D155/D137</f>
        <v>-0.049092125966696</v>
      </c>
    </row>
    <row r="156" customFormat="false" ht="15" hidden="false" customHeight="false" outlineLevel="0" collapsed="false">
      <c r="C156" s="0" t="s">
        <v>82</v>
      </c>
      <c r="D156" s="10" t="n">
        <f aca="false">ABR26!D155</f>
        <v>-1055653.504</v>
      </c>
      <c r="E156" s="17" t="n">
        <f aca="false">ABR26!E155</f>
        <v>-0.0422017981628197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25218540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0.0391</v>
      </c>
    </row>
    <row r="33" customFormat="false" ht="15" hidden="false" customHeight="false" outlineLevel="0" collapsed="false">
      <c r="B33" s="0" t="s">
        <v>18</v>
      </c>
      <c r="F33" s="9" t="n">
        <v>0.0352</v>
      </c>
    </row>
    <row r="35" customFormat="false" ht="15" hidden="false" customHeight="false" outlineLevel="0" collapsed="false">
      <c r="B35" s="0" t="s">
        <v>19</v>
      </c>
      <c r="F35" s="9" t="n">
        <v>0.8072</v>
      </c>
    </row>
    <row r="37" customFormat="false" ht="15" hidden="false" customHeight="false" outlineLevel="0" collapsed="false">
      <c r="B37" s="0" t="s">
        <v>20</v>
      </c>
      <c r="F37" s="9" t="n">
        <v>0.7545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19027388.43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341683.8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22000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184188.99</v>
      </c>
    </row>
    <row r="55" customFormat="false" ht="15" hidden="false" customHeight="false" outlineLevel="0" collapsed="false">
      <c r="B55" s="0" t="s">
        <v>29</v>
      </c>
      <c r="F55" s="8" t="n">
        <v>20910700.51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20910700.51</v>
      </c>
    </row>
    <row r="58" customFormat="false" ht="15" hidden="false" customHeight="false" outlineLevel="0" collapsed="false">
      <c r="B58" s="0" t="s">
        <v>31</v>
      </c>
      <c r="F58" s="10" t="n">
        <f aca="false">E129</f>
        <v>18400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72296.02</v>
      </c>
    </row>
    <row r="79" customFormat="false" ht="15" hidden="false" customHeight="false" outlineLevel="0" collapsed="false">
      <c r="G79" s="0" t="s">
        <v>113</v>
      </c>
      <c r="J79" s="14" t="n">
        <v>87657.38</v>
      </c>
    </row>
    <row r="80" customFormat="false" ht="15" hidden="false" customHeight="false" outlineLevel="0" collapsed="false">
      <c r="G80" s="0" t="s">
        <v>40</v>
      </c>
      <c r="J80" s="14" t="n">
        <v>81384.72</v>
      </c>
    </row>
    <row r="81" customFormat="false" ht="15" hidden="false" customHeight="false" outlineLevel="0" collapsed="false">
      <c r="G81" s="0" t="s">
        <v>114</v>
      </c>
      <c r="J81" s="14" t="n">
        <v>54588.27</v>
      </c>
    </row>
    <row r="82" customFormat="false" ht="15" hidden="false" customHeight="false" outlineLevel="0" collapsed="false">
      <c r="G82" s="0" t="s">
        <v>115</v>
      </c>
      <c r="J82" s="14" t="n">
        <v>45757.41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341683.8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143</v>
      </c>
      <c r="J92" s="14" t="n">
        <v>3481.88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144</v>
      </c>
      <c r="J93" s="14" t="n">
        <v>4669.03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145</v>
      </c>
      <c r="J94" s="14" t="n">
        <v>2811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146</v>
      </c>
      <c r="J95" s="14" t="n">
        <v>2829.38</v>
      </c>
    </row>
    <row r="96" customFormat="false" ht="15" hidden="false" customHeight="false" outlineLevel="0" collapsed="false">
      <c r="G96" s="0" t="s">
        <v>147</v>
      </c>
      <c r="J96" s="14" t="n">
        <v>2844.19</v>
      </c>
    </row>
    <row r="97" customFormat="false" ht="15" hidden="false" customHeight="false" outlineLevel="0" collapsed="false">
      <c r="G97" s="0" t="s">
        <v>148</v>
      </c>
      <c r="J97" s="14" t="n">
        <v>5364.52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22000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149</v>
      </c>
      <c r="E106" s="14" t="n">
        <v>54499.14</v>
      </c>
    </row>
    <row r="107" customFormat="false" ht="15" hidden="false" customHeight="false" outlineLevel="0" collapsed="false">
      <c r="B107" s="0" t="s">
        <v>150</v>
      </c>
      <c r="E107" s="14" t="n">
        <v>24355.78</v>
      </c>
    </row>
    <row r="108" customFormat="false" ht="15" hidden="false" customHeight="false" outlineLevel="0" collapsed="false">
      <c r="B108" s="0" t="s">
        <v>151</v>
      </c>
      <c r="E108" s="14" t="n">
        <v>53642.3</v>
      </c>
    </row>
    <row r="109" customFormat="false" ht="15" hidden="false" customHeight="false" outlineLevel="0" collapsed="false">
      <c r="B109" s="0" t="s">
        <v>152</v>
      </c>
      <c r="E109" s="14" t="n">
        <v>51691.77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184188.99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19" customFormat="false" ht="15" hidden="false" customHeight="false" outlineLevel="0" collapsed="false">
      <c r="B119" s="0" t="s">
        <v>137</v>
      </c>
      <c r="E119" s="14" t="n">
        <v>18400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18400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1050364.66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25218540</v>
      </c>
      <c r="G137" s="15" t="s">
        <v>59</v>
      </c>
      <c r="J137" s="8" t="n">
        <v>1330951.19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280586.53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46174</v>
      </c>
      <c r="G139" s="15" t="s">
        <v>62</v>
      </c>
    </row>
    <row r="140" customFormat="false" ht="28.35" hidden="false" customHeight="false" outlineLevel="0" collapsed="false">
      <c r="C140" s="0" t="s">
        <v>63</v>
      </c>
      <c r="D140" s="17" t="n">
        <f aca="false">F31</f>
        <v>0.0391</v>
      </c>
      <c r="G140" s="20" t="s">
        <v>153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0.0352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0.8072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0.7545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19027388.43</v>
      </c>
      <c r="E145" s="18" t="n">
        <f aca="false">D145/$D$137</f>
        <v>0.7545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341683.8</v>
      </c>
      <c r="E149" s="18" t="n">
        <f aca="false">D149/$D$137</f>
        <v>0.0135489128236607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0.00470685456017676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22000</v>
      </c>
      <c r="E151" s="18" t="n">
        <f aca="false">D151/$D$137</f>
        <v>0.000872374054961152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184188.99</v>
      </c>
      <c r="E152" s="18" t="n">
        <f aca="false">D152/$D$137</f>
        <v>0.00730371345843177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20910700.51</v>
      </c>
      <c r="E153" s="18" t="n">
        <f aca="false">D153/$D$137</f>
        <v>0.829179663453951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18400</v>
      </c>
      <c r="E154" s="18" t="n">
        <f aca="false">D154/$D$137</f>
        <v>0.0007296219368766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-1603517.27</v>
      </c>
      <c r="E155" s="19" t="n">
        <f aca="false">D155/D137</f>
        <v>-0.0635848574104607</v>
      </c>
    </row>
    <row r="156" customFormat="false" ht="15" hidden="false" customHeight="false" outlineLevel="0" collapsed="false">
      <c r="C156" s="0" t="s">
        <v>82</v>
      </c>
      <c r="D156" s="10" t="n">
        <f aca="false">MAI26!D155</f>
        <v>-1233021.4</v>
      </c>
      <c r="E156" s="17" t="n">
        <f aca="false">MAI26!E155</f>
        <v>-0.049092125966696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25320600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0.0366</v>
      </c>
    </row>
    <row r="33" customFormat="false" ht="15" hidden="false" customHeight="false" outlineLevel="0" collapsed="false">
      <c r="B33" s="0" t="s">
        <v>18</v>
      </c>
      <c r="F33" s="9" t="n">
        <v>0.035</v>
      </c>
    </row>
    <row r="35" customFormat="false" ht="15" hidden="false" customHeight="false" outlineLevel="0" collapsed="false">
      <c r="B35" s="0" t="s">
        <v>19</v>
      </c>
      <c r="F35" s="9" t="n">
        <v>0.8438</v>
      </c>
    </row>
    <row r="37" customFormat="false" ht="15" hidden="false" customHeight="false" outlineLevel="0" collapsed="false">
      <c r="B37" s="0" t="s">
        <v>20</v>
      </c>
      <c r="F37" s="9" t="n">
        <v>0.7895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19990613.7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301300.8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33500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170390.71</v>
      </c>
    </row>
    <row r="55" customFormat="false" ht="15" hidden="false" customHeight="false" outlineLevel="0" collapsed="false">
      <c r="B55" s="0" t="s">
        <v>29</v>
      </c>
      <c r="F55" s="8" t="n">
        <v>22241288.83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22241288.83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76962.72</v>
      </c>
    </row>
    <row r="79" customFormat="false" ht="15" hidden="false" customHeight="false" outlineLevel="0" collapsed="false">
      <c r="G79" s="0" t="s">
        <v>113</v>
      </c>
      <c r="J79" s="14" t="n">
        <v>49776.1</v>
      </c>
    </row>
    <row r="80" customFormat="false" ht="15" hidden="false" customHeight="false" outlineLevel="0" collapsed="false">
      <c r="G80" s="0" t="s">
        <v>40</v>
      </c>
      <c r="J80" s="14" t="n">
        <v>76639.27</v>
      </c>
    </row>
    <row r="81" customFormat="false" ht="15" hidden="false" customHeight="false" outlineLevel="0" collapsed="false">
      <c r="G81" s="0" t="s">
        <v>114</v>
      </c>
      <c r="J81" s="14" t="n">
        <v>59701.9</v>
      </c>
    </row>
    <row r="82" customFormat="false" ht="15" hidden="false" customHeight="false" outlineLevel="0" collapsed="false">
      <c r="G82" s="0" t="s">
        <v>115</v>
      </c>
      <c r="J82" s="14" t="n">
        <v>38220.81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301300.8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143</v>
      </c>
      <c r="J92" s="14" t="n">
        <v>4493.49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144</v>
      </c>
      <c r="J93" s="14" t="n">
        <v>6025.55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145</v>
      </c>
      <c r="J94" s="14" t="n">
        <v>3627.7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146</v>
      </c>
      <c r="J95" s="14" t="n">
        <v>3651.41</v>
      </c>
    </row>
    <row r="96" customFormat="false" ht="15" hidden="false" customHeight="false" outlineLevel="0" collapsed="false">
      <c r="G96" s="0" t="s">
        <v>147</v>
      </c>
      <c r="J96" s="14" t="n">
        <v>3670.53</v>
      </c>
    </row>
    <row r="97" customFormat="false" ht="15" hidden="false" customHeight="false" outlineLevel="0" collapsed="false">
      <c r="G97" s="0" t="s">
        <v>148</v>
      </c>
      <c r="J97" s="14" t="n">
        <v>6923.1</v>
      </c>
    </row>
    <row r="98" customFormat="false" ht="15" hidden="false" customHeight="false" outlineLevel="0" collapsed="false">
      <c r="G98" s="0" t="s">
        <v>154</v>
      </c>
      <c r="J98" s="14" t="n">
        <v>5108.22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33500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155</v>
      </c>
      <c r="E106" s="14" t="n">
        <v>37802.68</v>
      </c>
    </row>
    <row r="107" customFormat="false" ht="15" hidden="false" customHeight="false" outlineLevel="0" collapsed="false">
      <c r="B107" s="0" t="s">
        <v>156</v>
      </c>
      <c r="E107" s="14" t="n">
        <v>47932.42</v>
      </c>
    </row>
    <row r="108" customFormat="false" ht="15" hidden="false" customHeight="false" outlineLevel="0" collapsed="false">
      <c r="B108" s="0" t="s">
        <v>157</v>
      </c>
      <c r="E108" s="14" t="n">
        <v>37624.15</v>
      </c>
    </row>
    <row r="109" customFormat="false" ht="15" hidden="false" customHeight="false" outlineLevel="0" collapsed="false">
      <c r="B109" s="0" t="s">
        <v>158</v>
      </c>
      <c r="E109" s="14" t="n">
        <v>47031.46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170390.71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1093539.12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25320600</v>
      </c>
      <c r="G137" s="15" t="s">
        <v>59</v>
      </c>
      <c r="J137" s="8" t="n">
        <v>1330588.32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237049.2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46204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0.0366</v>
      </c>
      <c r="G140" s="20" t="s">
        <v>112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0.035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0.8438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0.7895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19990613.7</v>
      </c>
      <c r="E145" s="18" t="n">
        <f aca="false">D145/$D$137</f>
        <v>0.7895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301300.8</v>
      </c>
      <c r="E149" s="18" t="n">
        <f aca="false">D149/$D$137</f>
        <v>0.0118994336627094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0.00468788259361942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33500</v>
      </c>
      <c r="E151" s="18" t="n">
        <f aca="false">D151/$D$137</f>
        <v>0.00132303341942924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170390.71</v>
      </c>
      <c r="E152" s="18" t="n">
        <f aca="false">D152/$D$137</f>
        <v>0.00672933145344107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22241288.83</v>
      </c>
      <c r="E153" s="18" t="n">
        <f aca="false">D153/$D$137</f>
        <v>0.878387116813978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-1967565.04</v>
      </c>
      <c r="E155" s="19" t="n">
        <f aca="false">D155/D137</f>
        <v>-0.0777060985916605</v>
      </c>
    </row>
    <row r="156" customFormat="false" ht="15" hidden="false" customHeight="false" outlineLevel="0" collapsed="false">
      <c r="C156" s="0" t="s">
        <v>82</v>
      </c>
      <c r="D156" s="10" t="n">
        <f aca="false">JUN26!D155</f>
        <v>-1603517.27</v>
      </c>
      <c r="E156" s="17" t="n">
        <f aca="false">JUN26!E155</f>
        <v>-0.0635848574104607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25422660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0.0336</v>
      </c>
    </row>
    <row r="33" customFormat="false" ht="15" hidden="false" customHeight="false" outlineLevel="0" collapsed="false">
      <c r="B33" s="0" t="s">
        <v>18</v>
      </c>
      <c r="F33" s="9" t="n">
        <v>0.0351</v>
      </c>
    </row>
    <row r="35" customFormat="false" ht="15" hidden="false" customHeight="false" outlineLevel="0" collapsed="false">
      <c r="B35" s="0" t="s">
        <v>19</v>
      </c>
      <c r="F35" s="9" t="n">
        <v>0.8774</v>
      </c>
    </row>
    <row r="37" customFormat="false" ht="15" hidden="false" customHeight="false" outlineLevel="0" collapsed="false">
      <c r="B37" s="0" t="s">
        <v>20</v>
      </c>
      <c r="F37" s="9" t="n">
        <v>0.8246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20963525.436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101690.64</v>
      </c>
    </row>
    <row r="47" customFormat="false" ht="15" hidden="false" customHeight="false" outlineLevel="0" collapsed="false">
      <c r="B47" s="0" t="s">
        <v>25</v>
      </c>
      <c r="F47" s="10" t="n">
        <f aca="false">J88</f>
        <v>199252.71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45000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192890.15</v>
      </c>
    </row>
    <row r="55" customFormat="false" ht="15" hidden="false" customHeight="false" outlineLevel="0" collapsed="false">
      <c r="B55" s="0" t="s">
        <v>29</v>
      </c>
      <c r="F55" s="8" t="n">
        <v>23602186.8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23602186.8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G64" s="0" t="s">
        <v>159</v>
      </c>
      <c r="J64" s="14" t="n">
        <v>101690.64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101690.64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160</v>
      </c>
      <c r="J78" s="14" t="n">
        <v>35920.69</v>
      </c>
    </row>
    <row r="79" customFormat="false" ht="15" hidden="false" customHeight="false" outlineLevel="0" collapsed="false">
      <c r="G79" s="0" t="s">
        <v>161</v>
      </c>
      <c r="J79" s="14" t="n">
        <v>22982.98</v>
      </c>
    </row>
    <row r="80" customFormat="false" ht="15" hidden="false" customHeight="false" outlineLevel="0" collapsed="false">
      <c r="G80" s="0" t="s">
        <v>162</v>
      </c>
      <c r="J80" s="14" t="n">
        <v>23664.53</v>
      </c>
    </row>
    <row r="81" customFormat="false" ht="15" hidden="false" customHeight="false" outlineLevel="0" collapsed="false">
      <c r="G81" s="0" t="s">
        <v>114</v>
      </c>
      <c r="J81" s="14" t="n">
        <v>38837.89</v>
      </c>
    </row>
    <row r="82" customFormat="false" ht="15" hidden="false" customHeight="false" outlineLevel="0" collapsed="false">
      <c r="G82" s="0" t="s">
        <v>163</v>
      </c>
      <c r="J82" s="14" t="n">
        <v>45898.52</v>
      </c>
    </row>
    <row r="83" customFormat="false" ht="15" hidden="false" customHeight="false" outlineLevel="0" collapsed="false">
      <c r="G83" s="0" t="s">
        <v>164</v>
      </c>
      <c r="J83" s="14" t="n">
        <v>31948.1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199252.71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143</v>
      </c>
      <c r="J92" s="14" t="n">
        <v>6036.03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144</v>
      </c>
      <c r="J93" s="14" t="n">
        <v>8094.03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145</v>
      </c>
      <c r="J94" s="14" t="n">
        <v>4873.03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146</v>
      </c>
      <c r="J95" s="14" t="n">
        <v>4904.88</v>
      </c>
    </row>
    <row r="96" customFormat="false" ht="15" hidden="false" customHeight="false" outlineLevel="0" collapsed="false">
      <c r="G96" s="0" t="s">
        <v>147</v>
      </c>
      <c r="J96" s="14" t="n">
        <v>4930.56</v>
      </c>
    </row>
    <row r="97" customFormat="false" ht="15" hidden="false" customHeight="false" outlineLevel="0" collapsed="false">
      <c r="G97" s="0" t="s">
        <v>148</v>
      </c>
      <c r="J97" s="14" t="n">
        <v>9299.69</v>
      </c>
    </row>
    <row r="98" customFormat="false" ht="15" hidden="false" customHeight="false" outlineLevel="0" collapsed="false">
      <c r="G98" s="0" t="s">
        <v>154</v>
      </c>
      <c r="J98" s="14" t="n">
        <v>6861.78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45000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165</v>
      </c>
      <c r="E106" s="14" t="n">
        <v>28798.66</v>
      </c>
    </row>
    <row r="107" customFormat="false" ht="15" hidden="false" customHeight="false" outlineLevel="0" collapsed="false">
      <c r="B107" s="0" t="s">
        <v>166</v>
      </c>
      <c r="E107" s="14" t="n">
        <v>55864.97</v>
      </c>
    </row>
    <row r="108" customFormat="false" ht="15" hidden="false" customHeight="false" outlineLevel="0" collapsed="false">
      <c r="B108" s="0" t="s">
        <v>167</v>
      </c>
      <c r="E108" s="14" t="n">
        <v>27033.24</v>
      </c>
    </row>
    <row r="109" customFormat="false" ht="15" hidden="false" customHeight="false" outlineLevel="0" collapsed="false">
      <c r="B109" s="0" t="s">
        <v>168</v>
      </c>
      <c r="E109" s="14" t="n">
        <v>54115.8</v>
      </c>
    </row>
    <row r="110" customFormat="false" ht="15" hidden="false" customHeight="false" outlineLevel="0" collapsed="false">
      <c r="B110" s="0" t="s">
        <v>169</v>
      </c>
      <c r="E110" s="14" t="n">
        <v>27077.48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192890.15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1131302.1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25422660</v>
      </c>
      <c r="G137" s="15" t="s">
        <v>59</v>
      </c>
      <c r="J137" s="8" t="n">
        <v>1360897.97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229595.87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46235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0.0336</v>
      </c>
      <c r="G140" s="20" t="s">
        <v>138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0.0351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0.8774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0.8246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20963525.436</v>
      </c>
      <c r="E145" s="18" t="n">
        <f aca="false">D145/$D$137</f>
        <v>0.8246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101690.64</v>
      </c>
      <c r="E148" s="18" t="n">
        <f aca="false">D148/$D$137</f>
        <v>0.004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199252.71</v>
      </c>
      <c r="E149" s="18" t="n">
        <f aca="false">D149/$D$137</f>
        <v>0.00783760275281973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0.00466906295407326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45000</v>
      </c>
      <c r="E151" s="18" t="n">
        <f aca="false">D151/$D$137</f>
        <v>0.00177007441392836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192890.15</v>
      </c>
      <c r="E152" s="18" t="n">
        <f aca="false">D152/$D$137</f>
        <v>0.00758733153808453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23602186.8</v>
      </c>
      <c r="E153" s="18" t="n">
        <f aca="false">D153/$D$137</f>
        <v>0.928391710387505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-2366908.164</v>
      </c>
      <c r="E155" s="19" t="n">
        <f aca="false">D155/D137</f>
        <v>-0.0931023018047678</v>
      </c>
    </row>
    <row r="156" customFormat="false" ht="15" hidden="false" customHeight="false" outlineLevel="0" collapsed="false">
      <c r="C156" s="0" t="s">
        <v>82</v>
      </c>
      <c r="D156" s="10" t="n">
        <f aca="false">JUL26!D155</f>
        <v>-1967565.04</v>
      </c>
      <c r="E156" s="17" t="n">
        <f aca="false">JUL26!E155</f>
        <v>-0.0777060985916605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25524720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0.0303</v>
      </c>
    </row>
    <row r="33" customFormat="false" ht="15" hidden="false" customHeight="false" outlineLevel="0" collapsed="false">
      <c r="B33" s="0" t="s">
        <v>18</v>
      </c>
      <c r="F33" s="9" t="n">
        <v>0.0393</v>
      </c>
    </row>
    <row r="35" customFormat="false" ht="15" hidden="false" customHeight="false" outlineLevel="0" collapsed="false">
      <c r="B35" s="0" t="s">
        <v>19</v>
      </c>
      <c r="F35" s="9" t="n">
        <v>0.9077</v>
      </c>
    </row>
    <row r="37" customFormat="false" ht="15" hidden="false" customHeight="false" outlineLevel="0" collapsed="false">
      <c r="B37" s="0" t="s">
        <v>20</v>
      </c>
      <c r="F37" s="9" t="n">
        <v>0.8639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22050805.608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102098.88</v>
      </c>
    </row>
    <row r="47" customFormat="false" ht="15" hidden="false" customHeight="false" outlineLevel="0" collapsed="false">
      <c r="B47" s="0" t="s">
        <v>25</v>
      </c>
      <c r="F47" s="10" t="n">
        <f aca="false">J88</f>
        <v>185861.73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56500</v>
      </c>
    </row>
    <row r="53" customFormat="false" ht="15" hidden="false" customHeight="false" outlineLevel="0" collapsed="false">
      <c r="B53" s="0" t="s">
        <v>28</v>
      </c>
      <c r="F53" s="10" t="n">
        <f aca="false">E115</f>
        <v>199249.19</v>
      </c>
    </row>
    <row r="55" customFormat="false" ht="15" hidden="false" customHeight="false" outlineLevel="0" collapsed="false">
      <c r="B55" s="0" t="s">
        <v>29</v>
      </c>
      <c r="F55" s="8" t="n">
        <v>24949267.22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24949267.22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G64" s="0" t="s">
        <v>159</v>
      </c>
      <c r="J64" s="14" t="n">
        <v>102098.88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102098.88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160</v>
      </c>
      <c r="J78" s="14" t="n">
        <v>22870.84</v>
      </c>
    </row>
    <row r="79" customFormat="false" ht="15" hidden="false" customHeight="false" outlineLevel="0" collapsed="false">
      <c r="G79" s="0" t="s">
        <v>161</v>
      </c>
      <c r="J79" s="14" t="n">
        <v>32577.34</v>
      </c>
    </row>
    <row r="80" customFormat="false" ht="15" hidden="false" customHeight="false" outlineLevel="0" collapsed="false">
      <c r="G80" s="0" t="s">
        <v>162</v>
      </c>
      <c r="J80" s="14" t="n">
        <v>20273.13</v>
      </c>
    </row>
    <row r="81" customFormat="false" ht="15" hidden="false" customHeight="false" outlineLevel="0" collapsed="false">
      <c r="G81" s="0" t="s">
        <v>114</v>
      </c>
      <c r="J81" s="14" t="n">
        <v>36716.9</v>
      </c>
    </row>
    <row r="82" customFormat="false" ht="15" hidden="false" customHeight="false" outlineLevel="0" collapsed="false">
      <c r="G82" s="0" t="s">
        <v>163</v>
      </c>
      <c r="J82" s="14" t="n">
        <v>45502.79</v>
      </c>
    </row>
    <row r="83" customFormat="false" ht="15" hidden="false" customHeight="false" outlineLevel="0" collapsed="false">
      <c r="G83" s="0" t="s">
        <v>164</v>
      </c>
      <c r="J83" s="14" t="n">
        <v>27920.73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185861.73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143</v>
      </c>
      <c r="J92" s="14" t="n">
        <v>6145.01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144</v>
      </c>
      <c r="J93" s="14" t="n">
        <v>8240.16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145</v>
      </c>
      <c r="J94" s="14" t="n">
        <v>4961.01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146</v>
      </c>
      <c r="J95" s="14" t="n">
        <v>4993.43</v>
      </c>
    </row>
    <row r="96" customFormat="false" ht="15" hidden="false" customHeight="false" outlineLevel="0" collapsed="false">
      <c r="G96" s="0" t="s">
        <v>147</v>
      </c>
      <c r="J96" s="14" t="n">
        <v>5019.57</v>
      </c>
    </row>
    <row r="97" customFormat="false" ht="15" hidden="false" customHeight="false" outlineLevel="0" collapsed="false">
      <c r="G97" s="0" t="s">
        <v>148</v>
      </c>
      <c r="J97" s="14" t="n">
        <v>9467.59</v>
      </c>
    </row>
    <row r="98" customFormat="false" ht="15" hidden="false" customHeight="false" outlineLevel="0" collapsed="false">
      <c r="G98" s="0" t="s">
        <v>154</v>
      </c>
      <c r="J98" s="14" t="n">
        <v>6985.67</v>
      </c>
    </row>
    <row r="99" customFormat="false" ht="15" hidden="false" customHeight="false" outlineLevel="0" collapsed="false">
      <c r="G99" s="0" t="s">
        <v>170</v>
      </c>
      <c r="J99" s="14" t="n">
        <v>10687.56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118700</v>
      </c>
      <c r="G102" s="12" t="s">
        <v>34</v>
      </c>
      <c r="J102" s="13" t="n">
        <f aca="false">SUM(J92:J101)</f>
        <v>56500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171</v>
      </c>
      <c r="E106" s="14" t="n">
        <v>47425.68</v>
      </c>
    </row>
    <row r="107" customFormat="false" ht="15" hidden="false" customHeight="false" outlineLevel="0" collapsed="false">
      <c r="B107" s="0" t="s">
        <v>172</v>
      </c>
      <c r="E107" s="14" t="n">
        <v>32615.62</v>
      </c>
    </row>
    <row r="108" customFormat="false" ht="15" hidden="false" customHeight="false" outlineLevel="0" collapsed="false">
      <c r="B108" s="0" t="s">
        <v>173</v>
      </c>
      <c r="E108" s="14" t="n">
        <v>29487.03</v>
      </c>
    </row>
    <row r="109" customFormat="false" ht="15" hidden="false" customHeight="false" outlineLevel="0" collapsed="false">
      <c r="B109" s="0" t="s">
        <v>174</v>
      </c>
      <c r="E109" s="14" t="n">
        <v>49809.01</v>
      </c>
    </row>
    <row r="110" customFormat="false" ht="15" hidden="false" customHeight="false" outlineLevel="0" collapsed="false">
      <c r="B110" s="0" t="s">
        <v>175</v>
      </c>
      <c r="E110" s="14" t="n">
        <v>39911.85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199249.19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53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54</v>
      </c>
    </row>
    <row r="135" customFormat="false" ht="15" hidden="false" customHeight="false" outlineLevel="0" collapsed="false">
      <c r="G135" s="12" t="s">
        <v>55</v>
      </c>
    </row>
    <row r="136" customFormat="false" ht="15" hidden="false" customHeight="false" outlineLevel="0" collapsed="false">
      <c r="C136" s="0" t="s">
        <v>56</v>
      </c>
      <c r="D136" s="4" t="str">
        <f aca="false">D24</f>
        <v>REDINHA</v>
      </c>
      <c r="G136" s="15" t="s">
        <v>57</v>
      </c>
      <c r="J136" s="8" t="n">
        <v>1118627.32</v>
      </c>
    </row>
    <row r="137" customFormat="false" ht="15" hidden="false" customHeight="false" outlineLevel="0" collapsed="false">
      <c r="C137" s="0" t="s">
        <v>58</v>
      </c>
      <c r="D137" s="10" t="n">
        <f aca="false">J28</f>
        <v>25524720</v>
      </c>
      <c r="G137" s="15" t="s">
        <v>59</v>
      </c>
      <c r="J137" s="8" t="n">
        <v>1347080.42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60</v>
      </c>
      <c r="J138" s="10" t="n">
        <f aca="false">J137-J136</f>
        <v>228453.1</v>
      </c>
    </row>
    <row r="139" customFormat="false" ht="15" hidden="false" customHeight="false" outlineLevel="0" collapsed="false">
      <c r="C139" s="0" t="s">
        <v>61</v>
      </c>
      <c r="D139" s="16" t="n">
        <f aca="false">E26</f>
        <v>46266</v>
      </c>
      <c r="G139" s="15" t="s">
        <v>62</v>
      </c>
    </row>
    <row r="140" customFormat="false" ht="15" hidden="false" customHeight="false" outlineLevel="0" collapsed="false">
      <c r="C140" s="0" t="s">
        <v>63</v>
      </c>
      <c r="D140" s="17" t="n">
        <f aca="false">F31</f>
        <v>0.0303</v>
      </c>
      <c r="G140" s="20" t="s">
        <v>138</v>
      </c>
    </row>
    <row r="141" customFormat="false" ht="15" hidden="false" customHeight="false" outlineLevel="0" collapsed="false">
      <c r="C141" s="0" t="s">
        <v>64</v>
      </c>
      <c r="D141" s="17" t="n">
        <f aca="false">F33</f>
        <v>0.0393</v>
      </c>
    </row>
    <row r="142" customFormat="false" ht="15" hidden="false" customHeight="false" outlineLevel="0" collapsed="false">
      <c r="C142" s="0" t="s">
        <v>65</v>
      </c>
      <c r="D142" s="17" t="n">
        <f aca="false">F35</f>
        <v>0.9077</v>
      </c>
    </row>
    <row r="143" customFormat="false" ht="15" hidden="false" customHeight="false" outlineLevel="0" collapsed="false">
      <c r="C143" s="0" t="s">
        <v>66</v>
      </c>
      <c r="D143" s="17" t="n">
        <f aca="false">F37</f>
        <v>0.8639</v>
      </c>
    </row>
    <row r="145" customFormat="false" ht="15" hidden="false" customHeight="false" outlineLevel="0" collapsed="false">
      <c r="B145" s="0" t="s">
        <v>67</v>
      </c>
      <c r="C145" s="0" t="s">
        <v>68</v>
      </c>
      <c r="D145" s="10" t="n">
        <f aca="false">F39</f>
        <v>22050805.608</v>
      </c>
      <c r="E145" s="18" t="n">
        <f aca="false">D145/$D$137</f>
        <v>0.8639</v>
      </c>
    </row>
    <row r="146" customFormat="false" ht="15" hidden="false" customHeight="false" outlineLevel="0" collapsed="false">
      <c r="B146" s="0" t="s">
        <v>69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70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71</v>
      </c>
      <c r="C148" s="0" t="s">
        <v>33</v>
      </c>
      <c r="D148" s="10" t="n">
        <f aca="false">F45</f>
        <v>102098.88</v>
      </c>
      <c r="E148" s="18" t="n">
        <f aca="false">D148/$D$137</f>
        <v>0.004</v>
      </c>
    </row>
    <row r="149" customFormat="false" ht="15" hidden="false" customHeight="false" outlineLevel="0" collapsed="false">
      <c r="B149" s="0" t="s">
        <v>72</v>
      </c>
      <c r="C149" s="0" t="s">
        <v>36</v>
      </c>
      <c r="D149" s="10" t="n">
        <f aca="false">F47</f>
        <v>185861.73</v>
      </c>
      <c r="E149" s="18" t="n">
        <f aca="false">D149/$D$137</f>
        <v>0.00728163639013474</v>
      </c>
    </row>
    <row r="150" customFormat="false" ht="15" hidden="false" customHeight="false" outlineLevel="0" collapsed="false">
      <c r="B150" s="0" t="s">
        <v>73</v>
      </c>
      <c r="C150" s="0" t="s">
        <v>74</v>
      </c>
      <c r="D150" s="10" t="n">
        <f aca="false">F49</f>
        <v>118700</v>
      </c>
      <c r="E150" s="18" t="n">
        <f aca="false">D150/$D$137</f>
        <v>0.00465039381431021</v>
      </c>
    </row>
    <row r="151" customFormat="false" ht="15" hidden="false" customHeight="false" outlineLevel="0" collapsed="false">
      <c r="B151" s="0" t="s">
        <v>75</v>
      </c>
      <c r="C151" s="0" t="s">
        <v>76</v>
      </c>
      <c r="D151" s="10" t="n">
        <f aca="false">F51</f>
        <v>56500</v>
      </c>
      <c r="E151" s="18" t="n">
        <f aca="false">D151/$D$137</f>
        <v>0.00221354044236332</v>
      </c>
    </row>
    <row r="152" customFormat="false" ht="15" hidden="false" customHeight="false" outlineLevel="0" collapsed="false">
      <c r="B152" s="0" t="s">
        <v>77</v>
      </c>
      <c r="C152" s="0" t="s">
        <v>47</v>
      </c>
      <c r="D152" s="10" t="n">
        <f aca="false">F53</f>
        <v>199249.19</v>
      </c>
      <c r="E152" s="18" t="n">
        <f aca="false">D152/$D$137</f>
        <v>0.00780612637474574</v>
      </c>
    </row>
    <row r="153" customFormat="false" ht="15" hidden="false" customHeight="false" outlineLevel="0" collapsed="false">
      <c r="B153" s="0" t="s">
        <v>78</v>
      </c>
      <c r="C153" s="0" t="s">
        <v>79</v>
      </c>
      <c r="D153" s="10" t="n">
        <f aca="false">F56</f>
        <v>24949267.22</v>
      </c>
      <c r="E153" s="18" t="n">
        <f aca="false">D153/$D$137</f>
        <v>0.977455079624772</v>
      </c>
    </row>
    <row r="154" customFormat="false" ht="15" hidden="false" customHeight="false" outlineLevel="0" collapsed="false">
      <c r="B154" s="0" t="s">
        <v>80</v>
      </c>
      <c r="C154" s="0" t="s">
        <v>53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81</v>
      </c>
      <c r="D155" s="13" t="n">
        <f aca="false">D145+D146+D147+D148+D149+D150+D151-D152-D153-D154</f>
        <v>-2634550.192</v>
      </c>
      <c r="E155" s="19" t="n">
        <f aca="false">D155/D137</f>
        <v>-0.103215635352709</v>
      </c>
    </row>
    <row r="156" customFormat="false" ht="15" hidden="false" customHeight="false" outlineLevel="0" collapsed="false">
      <c r="C156" s="0" t="s">
        <v>82</v>
      </c>
      <c r="D156" s="10" t="n">
        <f aca="false">AGO26!D155</f>
        <v>-2366908.164</v>
      </c>
      <c r="E156" s="17" t="n">
        <f aca="false">AGO26!E155</f>
        <v>-0.0931023018047678</v>
      </c>
    </row>
    <row r="160" customFormat="false" ht="15" hidden="false" customHeight="false" outlineLevel="0" collapsed="false">
      <c r="B160" s="12" t="s">
        <v>83</v>
      </c>
    </row>
    <row r="162" customFormat="false" ht="15" hidden="false" customHeight="false" outlineLevel="0" collapsed="false">
      <c r="B162" s="12" t="s">
        <v>84</v>
      </c>
    </row>
    <row r="163" customFormat="false" ht="15" hidden="false" customHeight="false" outlineLevel="0" collapsed="false">
      <c r="B163" s="0" t="s">
        <v>85</v>
      </c>
    </row>
    <row r="164" customFormat="false" ht="15" hidden="false" customHeight="false" outlineLevel="0" collapsed="false">
      <c r="B164" s="12" t="s">
        <v>86</v>
      </c>
    </row>
    <row r="165" customFormat="false" ht="15" hidden="false" customHeight="false" outlineLevel="0" collapsed="false">
      <c r="B165" s="0" t="s">
        <v>87</v>
      </c>
    </row>
    <row r="166" customFormat="false" ht="15" hidden="false" customHeight="false" outlineLevel="0" collapsed="false">
      <c r="B166" s="12" t="s">
        <v>88</v>
      </c>
    </row>
    <row r="167" customFormat="false" ht="15" hidden="false" customHeight="false" outlineLevel="0" collapsed="false">
      <c r="B167" s="0" t="s">
        <v>89</v>
      </c>
    </row>
    <row r="168" customFormat="false" ht="15" hidden="false" customHeight="false" outlineLevel="0" collapsed="false">
      <c r="B168" s="12" t="s">
        <v>90</v>
      </c>
    </row>
    <row r="169" customFormat="false" ht="15" hidden="false" customHeight="false" outlineLevel="0" collapsed="false">
      <c r="B169" s="0" t="s">
        <v>91</v>
      </c>
    </row>
    <row r="170" customFormat="false" ht="15" hidden="false" customHeight="false" outlineLevel="0" collapsed="false">
      <c r="B170" s="12" t="s">
        <v>92</v>
      </c>
    </row>
    <row r="171" customFormat="false" ht="15" hidden="false" customHeight="false" outlineLevel="0" collapsed="false">
      <c r="B171" s="0" t="s">
        <v>93</v>
      </c>
    </row>
    <row r="172" customFormat="false" ht="15" hidden="false" customHeight="false" outlineLevel="0" collapsed="false">
      <c r="B172" s="12" t="s">
        <v>94</v>
      </c>
    </row>
    <row r="173" customFormat="false" ht="15" hidden="false" customHeight="false" outlineLevel="0" collapsed="false">
      <c r="B173" s="0" t="s">
        <v>95</v>
      </c>
    </row>
    <row r="174" customFormat="false" ht="15" hidden="false" customHeight="false" outlineLevel="0" collapsed="false">
      <c r="B174" s="12" t="s">
        <v>96</v>
      </c>
    </row>
    <row r="175" customFormat="false" ht="15" hidden="false" customHeight="false" outlineLevel="0" collapsed="false">
      <c r="B175" s="0" t="s">
        <v>97</v>
      </c>
    </row>
    <row r="176" customFormat="false" ht="15" hidden="false" customHeight="false" outlineLevel="0" collapsed="false">
      <c r="B176" s="12" t="s">
        <v>98</v>
      </c>
    </row>
    <row r="177" customFormat="false" ht="15" hidden="false" customHeight="false" outlineLevel="0" collapsed="false">
      <c r="B177" s="0" t="s">
        <v>99</v>
      </c>
    </row>
    <row r="178" customFormat="false" ht="15" hidden="false" customHeight="false" outlineLevel="0" collapsed="false">
      <c r="B178" s="12" t="s">
        <v>100</v>
      </c>
    </row>
    <row r="179" customFormat="false" ht="15" hidden="false" customHeight="false" outlineLevel="0" collapsed="false">
      <c r="B179" s="0" t="s">
        <v>101</v>
      </c>
    </row>
    <row r="180" customFormat="false" ht="15" hidden="false" customHeight="false" outlineLevel="0" collapsed="false">
      <c r="B180" s="12" t="s">
        <v>102</v>
      </c>
    </row>
    <row r="181" customFormat="false" ht="15" hidden="false" customHeight="false" outlineLevel="0" collapsed="false">
      <c r="B181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2026-10-28T18:38:10Z</dcterms:created>
  <dc:creator>openpyxl</dc:creator>
  <dc:description/>
  <dc:language>en-US</dc:language>
  <cp:lastModifiedBy/>
  <dcterms:modified xsi:type="dcterms:W3CDTF">2026-10-28T18:38:10Z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